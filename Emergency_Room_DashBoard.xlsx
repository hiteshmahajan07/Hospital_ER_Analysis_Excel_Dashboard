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it21\Desktop\Excel Project\"/>
    </mc:Choice>
  </mc:AlternateContent>
  <xr:revisionPtr revIDLastSave="0" documentId="13_ncr:1_{769D53E1-102B-499B-ADFA-2515C9E127C5}" xr6:coauthVersionLast="47" xr6:coauthVersionMax="47" xr10:uidLastSave="{00000000-0000-0000-0000-000000000000}"/>
  <bookViews>
    <workbookView xWindow="0" yWindow="12" windowWidth="23256" windowHeight="13176" activeTab="1" xr2:uid="{1B130187-6B20-4BF1-BCCB-8DE9E6B10736}"/>
  </bookViews>
  <sheets>
    <sheet name="pivot report" sheetId="1" r:id="rId1"/>
    <sheet name="Dashboard" sheetId="2" r:id="rId2"/>
    <sheet name="Satisfaction Score Daily Trends" sheetId="6" r:id="rId3"/>
    <sheet name="Average WaitTime Daily trend" sheetId="5" r:id="rId4"/>
    <sheet name="Daily ER No.Of Patient" sheetId="3" r:id="rId5"/>
  </sheets>
  <definedNames>
    <definedName name="Slicer_Date__Month">#N/A</definedName>
    <definedName name="Slicer_Date__Year">#N/A</definedName>
  </definedNames>
  <calcPr calcId="191029"/>
  <pivotCaches>
    <pivotCache cacheId="159" r:id="rId6"/>
    <pivotCache cacheId="162" r:id="rId7"/>
    <pivotCache cacheId="165" r:id="rId8"/>
    <pivotCache cacheId="168" r:id="rId9"/>
    <pivotCache cacheId="171" r:id="rId10"/>
    <pivotCache cacheId="174" r:id="rId11"/>
    <pivotCache cacheId="177" r:id="rId12"/>
    <pivotCache cacheId="180" r:id="rId13"/>
    <pivotCache cacheId="183" r:id="rId14"/>
    <pivotCache cacheId="186" r:id="rId15"/>
    <pivotCache cacheId="189" r:id="rId16"/>
    <pivotCache cacheId="19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ec5f863-1693-4d26-b607-73b3ee87b99a" name="Hospital Emergency Room Data" connection="Query - Hospital Emergency Room Data"/>
          <x15:modelTable id="Calender_Table_05d92ede-7f5d-40d4-ac7d-25624b8d4183"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 i="1" l="1"/>
  <c r="B56" i="1"/>
  <c r="C56" i="1"/>
  <c r="A56" i="1"/>
  <c r="C55"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1EE603-18D7-4E7B-9229-0B88EB0F9351}" name="Query - Calender_Table" description="Connection to the 'Calender_Table' query in the workbook." type="100" refreshedVersion="8" minRefreshableVersion="5">
    <extLst>
      <ext xmlns:x15="http://schemas.microsoft.com/office/spreadsheetml/2010/11/main" uri="{DE250136-89BD-433C-8126-D09CA5730AF9}">
        <x15:connection id="e74d6341-9605-44fa-8ef7-62301431cd2e"/>
      </ext>
    </extLst>
  </connection>
  <connection id="2" xr16:uid="{A018A24F-52BC-4656-92CD-5ACD03374F1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c970b83-4290-487a-9d31-6f75bb30c70d"/>
      </ext>
    </extLst>
  </connection>
  <connection id="3" xr16:uid="{8492A3A7-DD1B-4BEC-A0B8-23788FE3B3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<sst xmlns="http://schemas.openxmlformats.org/spreadsheetml/2006/main" count="151" uniqueCount="72">
  <si>
    <t>Distinct Count of Patient Id</t>
  </si>
  <si>
    <t>Average of Patient Waittime</t>
  </si>
  <si>
    <t>Average of Patient Satisfaction Score</t>
  </si>
  <si>
    <t>Grand Total</t>
  </si>
  <si>
    <t>Row Labels</t>
  </si>
  <si>
    <t>DAIly Trends of no.of Patient</t>
  </si>
  <si>
    <t>Average Waittime</t>
  </si>
  <si>
    <t>Satisfaction Score Daily Trend</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</si>
  <si>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</si>
  <si>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</si>
  <si>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</si>
  <si>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</si>
  <si>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</si>
  <si>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</si>
  <si>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</si>
  <si>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</si>
  <si>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</si>
  <si>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</si>
  <si>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</si>
  <si>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</si>
  <si>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</si>
  <si>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</si>
  <si>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</si>
  <si>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</si>
  <si>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 xml:space="preserve">age wise </t>
  </si>
  <si>
    <t>Delay</t>
  </si>
  <si>
    <t>On-Time</t>
  </si>
  <si>
    <t>Count of Patient Attend Status</t>
  </si>
  <si>
    <t xml:space="preserve">Attended Status </t>
  </si>
  <si>
    <t>Female</t>
  </si>
  <si>
    <t>Male</t>
  </si>
  <si>
    <t>Count of Patient Gender</t>
  </si>
  <si>
    <t>Cardiology</t>
  </si>
  <si>
    <t>Gastroenterology</t>
  </si>
  <si>
    <t>General Practice</t>
  </si>
  <si>
    <t>Neurology</t>
  </si>
  <si>
    <t>None</t>
  </si>
  <si>
    <t>Orthopedics</t>
  </si>
  <si>
    <t>Physiotherapy</t>
  </si>
  <si>
    <t>Renal</t>
  </si>
  <si>
    <t>Count of Department Referral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</si>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</sst>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2" fontId="0" fillId="0" borderId="0" xfId="0" applyNumberFormat="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2" fillId="5" borderId="1" xfId="0" applyFont="1" applyFill="1" applyBorder="1"/>
    <xf numFmtId="0" fontId="0" fillId="3" borderId="0" xfId="0" applyFill="1" applyAlignment="1">
      <alignment horizontal="center"/>
    </xf>
    <xf numFmtId="1" fontId="0" fillId="3" borderId="0" xfId="0" applyNumberFormat="1" applyFill="1" applyAlignment="1">
      <alignment horizontal="center"/>
    </xf>
    <xf numFmtId="9" fontId="0" fillId="3" borderId="0" xfId="1" applyFont="1" applyFill="1" applyAlignment="1">
      <alignment horizontal="center"/>
    </xf>
    <xf numFmtId="0" fontId="0" fillId="0" borderId="0" xfId="0" applyNumberFormat="1"/>
  </cellXfs>
  <cellStyles count="2">
    <cellStyle name="Normal" xfId="0" builtinId="0"/>
    <cellStyle name="Percent" xfId="1" builtinId="5"/>
  </cellStyles>
  <dxfs count="74">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4" formatCode="0.00%"/>
    </dxf>
    <dxf>
      <numFmt numFmtId="2" formatCode="0.00"/>
    </dxf>
    <dxf>
      <numFmt numFmtId="2" formatCode="0.00"/>
    </dxf>
    <dxf>
      <numFmt numFmtId="164" formatCode="0.000"/>
    </dxf>
    <dxf>
      <numFmt numFmtId="164" formatCode="0.00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4" formatCode="0.00%"/>
    </dxf>
    <dxf>
      <numFmt numFmtId="2" formatCode="0.00"/>
    </dxf>
    <dxf>
      <numFmt numFmtId="2" formatCode="0.00"/>
    </dxf>
    <dxf>
      <numFmt numFmtId="164" formatCode="0.000"/>
    </dxf>
    <dxf>
      <numFmt numFmtId="164" formatCode="0.00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4" formatCode="0.00%"/>
    </dxf>
    <dxf>
      <numFmt numFmtId="2" formatCode="0.00"/>
    </dxf>
    <dxf>
      <numFmt numFmtId="2" formatCode="0.00"/>
    </dxf>
    <dxf>
      <numFmt numFmtId="164" formatCode="0.000"/>
    </dxf>
    <dxf>
      <numFmt numFmtId="164" formatCode="0.00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4" formatCode="0.00%"/>
    </dxf>
    <dxf>
      <numFmt numFmtId="2" formatCode="0.00"/>
    </dxf>
    <dxf>
      <numFmt numFmtId="2" formatCode="0.00"/>
    </dxf>
    <dxf>
      <numFmt numFmtId="164" formatCode="0.000"/>
    </dxf>
    <dxf>
      <numFmt numFmtId="164" formatCode="0.000"/>
    </dxf>
    <dxf>
      <numFmt numFmtId="1" formatCode="0"/>
    </dxf>
    <dxf>
      <numFmt numFmtId="1" formatCode="0"/>
    </dxf>
    <dxf>
      <numFmt numFmtId="1" formatCode="0"/>
    </dxf>
    <dxf>
      <numFmt numFmtId="1" formatCode="0"/>
    </dxf>
    <dxf>
      <numFmt numFmtId="1" formatCode="0"/>
    </dxf>
    <dxf>
      <numFmt numFmtId="164" formatCode="0.000"/>
    </dxf>
    <dxf>
      <numFmt numFmtId="1" formatCode="0"/>
    </dxf>
    <dxf>
      <numFmt numFmtId="14" formatCode="0.00%"/>
    </dxf>
    <dxf>
      <numFmt numFmtId="2" formatCode="0.00"/>
    </dxf>
    <dxf>
      <numFmt numFmtId="2" formatCode="0.00"/>
    </dxf>
    <dxf>
      <numFmt numFmtId="164" formatCode="0.000"/>
    </dxf>
    <dxf>
      <numFmt numFmtId="164" formatCode="0.000"/>
    </dxf>
    <dxf>
      <numFmt numFmtId="1" formatCode="0"/>
    </dxf>
    <dxf>
      <numFmt numFmtId="2" formatCode="0.00"/>
    </dxf>
    <dxf>
      <numFmt numFmtId="1" formatCode="0"/>
    </dxf>
    <dxf>
      <numFmt numFmtId="164" formatCode="0.000"/>
    </dxf>
    <dxf>
      <numFmt numFmtId="14" formatCode="0.00%"/>
    </dxf>
    <dxf>
      <numFmt numFmtId="1" formatCode="0"/>
    </dxf>
    <dxf>
      <numFmt numFmtId="164" formatCode="0.000"/>
    </dxf>
    <dxf>
      <numFmt numFmtId="1" formatCode="0"/>
    </dxf>
    <dxf>
      <numFmt numFmtId="164" formatCode="0.000"/>
    </dxf>
    <dxf>
      <numFmt numFmtId="1" formatCode="0"/>
    </dxf>
    <dxf>
      <numFmt numFmtId="2" formatCode="0.00"/>
    </dxf>
    <dxf>
      <numFmt numFmtId="1" formatCode="0"/>
    </dxf>
    <dxf>
      <font>
        <b/>
        <color theme="1"/>
      </font>
      <border>
        <bottom style="thin">
          <color theme="5"/>
        </bottom>
        <vertical/>
        <horizontal/>
      </border>
    </dxf>
    <dxf>
      <font>
        <b/>
        <i val="0"/>
        <sz val="5"/>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962DB958-E554-4D1E-9C70-777779535F5C}">
      <tableStyleElement type="wholeTable" dxfId="73"/>
      <tableStyleElement type="headerRow" dxfId="7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4D7EECE3-43EB-4CCF-BBE0-11B4EE3A0248}"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5E1FD87C-E84D-46D4-864E-E869AA0689F5}"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0.22041115416156667"/>
          <c:y val="0"/>
          <c:w val="0.71595867831588178"/>
          <c:h val="0.92891947577476153"/>
        </c:manualLayout>
      </c:layout>
      <c:barChart>
        <c:barDir val="bar"/>
        <c:grouping val="clustered"/>
        <c:varyColors val="0"/>
        <c:ser>
          <c:idx val="0"/>
          <c:order val="0"/>
          <c:tx>
            <c:strRef>
              <c:f>'pivot report'!$C$48:$C$49</c:f>
              <c:strCache>
                <c:ptCount val="1"/>
                <c:pt idx="0">
                  <c:v>Count of Patient Admission Flag</c:v>
                </c:pt>
              </c:strCache>
            </c:strRef>
          </c:tx>
          <c:spPr>
            <a:solidFill>
              <a:schemeClr val="accent1"/>
            </a:solidFill>
            <a:ln>
              <a:noFill/>
            </a:ln>
            <a:effectLst/>
          </c:spPr>
          <c:invertIfNegative val="0"/>
          <c:dLbls>
            <c:dLbl>
              <c:idx val="0"/>
              <c:tx>
                <c:rich>
                  <a:bodyPr/>
                  <a:lstStyle/>
                  <a:p>
                    <a:fld id="{4D7EECE3-43EB-4CCF-BBE0-11B4EE3A02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614-4FC3-A6BF-C58830CD7549}"/>
                </c:ext>
              </c:extLst>
            </c:dLbl>
            <c:dLbl>
              <c:idx val="1"/>
              <c:tx>
                <c:rich>
                  <a:bodyPr/>
                  <a:lstStyle/>
                  <a:p>
                    <a:fld id="{5E1FD87C-E84D-46D4-864E-E869AA0689F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614-4FC3-A6BF-C58830CD7549}"/>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report'!$C$48:$C$49</c:f>
              <c:strCache>
                <c:ptCount val="2"/>
                <c:pt idx="0">
                  <c:v>Admitted</c:v>
                </c:pt>
                <c:pt idx="1">
                  <c:v>Not Admitted</c:v>
                </c:pt>
              </c:strCache>
            </c:strRef>
          </c:cat>
          <c:val>
            <c:numRef>
              <c:f>'pivot report'!$C$48:$C$49</c:f>
              <c:numCache>
                <c:formatCode>0</c:formatCode>
                <c:ptCount val="2"/>
                <c:pt idx="0">
                  <c:v>249</c:v>
                </c:pt>
                <c:pt idx="1">
                  <c:v>220</c:v>
                </c:pt>
              </c:numCache>
            </c:numRef>
          </c:val>
          <c:extLst>
            <c:ext xmlns:c15="http://schemas.microsoft.com/office/drawing/2012/chart" uri="{02D57815-91ED-43cb-92C2-25804820EDAC}">
              <c15:datalabelsRange>
                <c15:f>'pivot report'!$C$48:$C$49</c15:f>
                <c15:dlblRangeCache>
                  <c:ptCount val="2"/>
                  <c:pt idx="0">
                    <c:v>53.09%</c:v>
                  </c:pt>
                  <c:pt idx="1">
                    <c:v>46.91%</c:v>
                  </c:pt>
                </c15:dlblRangeCache>
              </c15:datalabelsRange>
            </c:ext>
            <c:ext xmlns:c16="http://schemas.microsoft.com/office/drawing/2014/chart" uri="{C3380CC4-5D6E-409C-BE32-E72D297353CC}">
              <c16:uniqueId val="{00000000-0614-4FC3-A6BF-C58830CD7549}"/>
            </c:ext>
          </c:extLst>
        </c:ser>
        <c:ser>
          <c:idx val="1"/>
          <c:order val="1"/>
          <c:tx>
            <c:strRef>
              <c:f>'pivot report'!$C$48:$C$49</c:f>
              <c:strCache>
                <c:ptCount val="1"/>
                <c:pt idx="0">
                  <c:v>Count of Patient Admission Flag2</c:v>
                </c:pt>
              </c:strCache>
            </c:strRef>
          </c:tx>
          <c:spPr>
            <a:solidFill>
              <a:schemeClr val="accent2"/>
            </a:solidFill>
            <a:ln>
              <a:noFill/>
            </a:ln>
            <a:effectLst/>
          </c:spPr>
          <c:invertIfNegative val="0"/>
          <c:cat>
            <c:strRef>
              <c:f>'pivot report'!$C$48:$C$49</c:f>
              <c:strCache>
                <c:ptCount val="2"/>
                <c:pt idx="0">
                  <c:v>Admitted</c:v>
                </c:pt>
                <c:pt idx="1">
                  <c:v>Not Admitted</c:v>
                </c:pt>
              </c:strCache>
            </c:strRef>
          </c:cat>
          <c:val>
            <c:numRef>
              <c:f>'pivot report'!$C$48:$C$49</c:f>
              <c:numCache>
                <c:formatCode>0.00%</c:formatCode>
                <c:ptCount val="2"/>
                <c:pt idx="0">
                  <c:v>0.53091684434968012</c:v>
                </c:pt>
                <c:pt idx="1">
                  <c:v>0.46908315565031983</c:v>
                </c:pt>
              </c:numCache>
            </c:numRef>
          </c:val>
          <c:extLst>
            <c:ext xmlns:c16="http://schemas.microsoft.com/office/drawing/2014/chart" uri="{C3380CC4-5D6E-409C-BE32-E72D297353CC}">
              <c16:uniqueId val="{00000001-0614-4FC3-A6BF-C58830CD7549}"/>
            </c:ext>
          </c:extLst>
        </c:ser>
        <c:dLbls>
          <c:showLegendKey val="0"/>
          <c:showVal val="0"/>
          <c:showCatName val="0"/>
          <c:showSerName val="0"/>
          <c:showPercent val="0"/>
          <c:showBubbleSize val="0"/>
        </c:dLbls>
        <c:gapWidth val="182"/>
        <c:axId val="1129754768"/>
        <c:axId val="1129755728"/>
      </c:barChart>
      <c:catAx>
        <c:axId val="1129754768"/>
        <c:scaling>
          <c:orientation val="minMax"/>
        </c:scaling>
        <c:delete val="1"/>
        <c:axPos val="l"/>
        <c:numFmt formatCode="General" sourceLinked="1"/>
        <c:majorTickMark val="none"/>
        <c:minorTickMark val="none"/>
        <c:tickLblPos val="nextTo"/>
        <c:crossAx val="1129755728"/>
        <c:crosses val="autoZero"/>
        <c:auto val="1"/>
        <c:lblAlgn val="ctr"/>
        <c:lblOffset val="100"/>
        <c:noMultiLvlLbl val="0"/>
      </c:catAx>
      <c:valAx>
        <c:axId val="112975572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12975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69090009891195"/>
          <c:y val="0.24540821256038647"/>
          <c:w val="0.54902818991097924"/>
          <c:h val="0.50972101449275364"/>
        </c:manualLayout>
      </c:layout>
      <c:areaChart>
        <c:grouping val="standard"/>
        <c:varyColors val="0"/>
        <c:ser>
          <c:idx val="0"/>
          <c:order val="0"/>
          <c:tx>
            <c:strRef>
              <c:f>'pivot report'!$F$11</c:f>
              <c:strCache>
                <c:ptCount val="1"/>
                <c:pt idx="0">
                  <c:v>Total</c:v>
                </c:pt>
              </c:strCache>
            </c:strRef>
          </c:tx>
          <c:spPr>
            <a:solidFill>
              <a:schemeClr val="accent2">
                <a:lumMod val="75000"/>
              </a:schemeClr>
            </a:solidFill>
            <a:ln>
              <a:noFill/>
            </a:ln>
            <a:effectLst/>
          </c:spPr>
          <c:cat>
            <c:strRef>
              <c:f>'pivot report'!$E$12:$E$42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report'!$F$12:$F$42</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2145-42EC-98A0-706164676356}"/>
            </c:ext>
          </c:extLst>
        </c:ser>
        <c:dLbls>
          <c:showLegendKey val="0"/>
          <c:showVal val="0"/>
          <c:showCatName val="0"/>
          <c:showSerName val="0"/>
          <c:showPercent val="0"/>
          <c:showBubbleSize val="0"/>
        </c:dLbls>
        <c:axId val="414600991"/>
        <c:axId val="362161183"/>
      </c:areaChart>
      <c:catAx>
        <c:axId val="414600991"/>
        <c:scaling>
          <c:orientation val="minMax"/>
        </c:scaling>
        <c:delete val="1"/>
        <c:axPos val="b"/>
        <c:numFmt formatCode="General" sourceLinked="1"/>
        <c:majorTickMark val="out"/>
        <c:minorTickMark val="none"/>
        <c:tickLblPos val="nextTo"/>
        <c:crossAx val="362161183"/>
        <c:crosses val="autoZero"/>
        <c:auto val="1"/>
        <c:lblAlgn val="ctr"/>
        <c:lblOffset val="100"/>
        <c:noMultiLvlLbl val="0"/>
      </c:catAx>
      <c:valAx>
        <c:axId val="362161183"/>
        <c:scaling>
          <c:orientation val="minMax"/>
        </c:scaling>
        <c:delete val="1"/>
        <c:axPos val="l"/>
        <c:numFmt formatCode="General" sourceLinked="1"/>
        <c:majorTickMark val="none"/>
        <c:minorTickMark val="none"/>
        <c:tickLblPos val="nextTo"/>
        <c:crossAx val="41460099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report!PivotTable5</c:name>
    <c:fmtId val="15"/>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78304431599229285"/>
          <c:w val="0.76939040207522702"/>
          <c:h val="0.21695568400770712"/>
        </c:manualLayout>
      </c:layout>
      <c:areaChart>
        <c:grouping val="standard"/>
        <c:varyColors val="0"/>
        <c:ser>
          <c:idx val="0"/>
          <c:order val="0"/>
          <c:tx>
            <c:strRef>
              <c:f>'pivot report'!$L$11</c:f>
              <c:strCache>
                <c:ptCount val="1"/>
                <c:pt idx="0">
                  <c:v>Total</c:v>
                </c:pt>
              </c:strCache>
            </c:strRef>
          </c:tx>
          <c:spPr>
            <a:solidFill>
              <a:schemeClr val="accent2">
                <a:lumMod val="75000"/>
              </a:schemeClr>
            </a:solidFill>
            <a:ln>
              <a:noFill/>
            </a:ln>
            <a:effectLst/>
          </c:spPr>
          <c:cat>
            <c:strRef>
              <c:f>'pivot report'!$K$12:$K$42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report'!$L$12:$L$42</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AE2A-4797-AC28-A81AC1D86184}"/>
            </c:ext>
          </c:extLst>
        </c:ser>
        <c:dLbls>
          <c:showLegendKey val="0"/>
          <c:showVal val="0"/>
          <c:showCatName val="0"/>
          <c:showSerName val="0"/>
          <c:showPercent val="0"/>
          <c:showBubbleSize val="0"/>
        </c:dLbls>
        <c:axId val="362109311"/>
        <c:axId val="1532883855"/>
      </c:areaChart>
      <c:catAx>
        <c:axId val="362109311"/>
        <c:scaling>
          <c:orientation val="minMax"/>
        </c:scaling>
        <c:delete val="1"/>
        <c:axPos val="b"/>
        <c:numFmt formatCode="General" sourceLinked="1"/>
        <c:majorTickMark val="out"/>
        <c:minorTickMark val="none"/>
        <c:tickLblPos val="nextTo"/>
        <c:crossAx val="1532883855"/>
        <c:crosses val="autoZero"/>
        <c:auto val="1"/>
        <c:lblAlgn val="ctr"/>
        <c:lblOffset val="100"/>
        <c:noMultiLvlLbl val="0"/>
      </c:catAx>
      <c:valAx>
        <c:axId val="1532883855"/>
        <c:scaling>
          <c:orientation val="minMax"/>
        </c:scaling>
        <c:delete val="1"/>
        <c:axPos val="l"/>
        <c:numFmt formatCode="0.00" sourceLinked="1"/>
        <c:majorTickMark val="none"/>
        <c:minorTickMark val="none"/>
        <c:tickLblPos val="nextTo"/>
        <c:crossAx val="362109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6274509803922"/>
          <c:y val="9.3812942082204101E-2"/>
          <c:w val="0.63892156862745098"/>
          <c:h val="0.42669868727541932"/>
        </c:manualLayout>
      </c:layout>
      <c:areaChart>
        <c:grouping val="standard"/>
        <c:varyColors val="0"/>
        <c:ser>
          <c:idx val="0"/>
          <c:order val="0"/>
          <c:tx>
            <c:strRef>
              <c:f>'pivot report'!$Q$10</c:f>
              <c:strCache>
                <c:ptCount val="1"/>
                <c:pt idx="0">
                  <c:v>Total</c:v>
                </c:pt>
              </c:strCache>
            </c:strRef>
          </c:tx>
          <c:spPr>
            <a:solidFill>
              <a:schemeClr val="accent2">
                <a:lumMod val="75000"/>
              </a:schemeClr>
            </a:solidFill>
            <a:ln>
              <a:noFill/>
            </a:ln>
            <a:effectLst/>
          </c:spPr>
          <c:cat>
            <c:strRef>
              <c:f>'pivot report'!$P$11:$P$41</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report'!$Q$11:$Q$41</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8A88-4896-81C1-FB9092950D35}"/>
            </c:ext>
          </c:extLst>
        </c:ser>
        <c:dLbls>
          <c:showLegendKey val="0"/>
          <c:showVal val="0"/>
          <c:showCatName val="0"/>
          <c:showSerName val="0"/>
          <c:showPercent val="0"/>
          <c:showBubbleSize val="0"/>
        </c:dLbls>
        <c:axId val="1074884143"/>
        <c:axId val="1074880783"/>
      </c:areaChart>
      <c:catAx>
        <c:axId val="1074884143"/>
        <c:scaling>
          <c:orientation val="minMax"/>
        </c:scaling>
        <c:delete val="1"/>
        <c:axPos val="b"/>
        <c:numFmt formatCode="General" sourceLinked="1"/>
        <c:majorTickMark val="out"/>
        <c:minorTickMark val="none"/>
        <c:tickLblPos val="nextTo"/>
        <c:crossAx val="1074880783"/>
        <c:crosses val="autoZero"/>
        <c:auto val="1"/>
        <c:lblAlgn val="ctr"/>
        <c:lblOffset val="100"/>
        <c:noMultiLvlLbl val="0"/>
      </c:catAx>
      <c:valAx>
        <c:axId val="1074880783"/>
        <c:scaling>
          <c:orientation val="minMax"/>
        </c:scaling>
        <c:delete val="1"/>
        <c:axPos val="l"/>
        <c:numFmt formatCode="0.00" sourceLinked="1"/>
        <c:majorTickMark val="none"/>
        <c:minorTickMark val="none"/>
        <c:tickLblPos val="nextTo"/>
        <c:crossAx val="1074884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report!PivotTable8</c:name>
    <c:fmtId val="4"/>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0248833592535E-2"/>
          <c:y val="9.956053073308678E-3"/>
          <c:w val="0.90516198495897593"/>
          <c:h val="0.66035957908386367"/>
        </c:manualLayout>
      </c:layout>
      <c:barChart>
        <c:barDir val="col"/>
        <c:grouping val="clustered"/>
        <c:varyColors val="0"/>
        <c:ser>
          <c:idx val="0"/>
          <c:order val="0"/>
          <c:tx>
            <c:strRef>
              <c:f>'pivot report'!$B$61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report'!$A$62:$A$70</c:f>
              <c:strCache>
                <c:ptCount val="8"/>
                <c:pt idx="0">
                  <c:v>0-09</c:v>
                </c:pt>
                <c:pt idx="1">
                  <c:v>10-19</c:v>
                </c:pt>
                <c:pt idx="2">
                  <c:v>20-29</c:v>
                </c:pt>
                <c:pt idx="3">
                  <c:v>30-39</c:v>
                </c:pt>
                <c:pt idx="4">
                  <c:v>40-49</c:v>
                </c:pt>
                <c:pt idx="5">
                  <c:v>50-59</c:v>
                </c:pt>
                <c:pt idx="6">
                  <c:v>60-69</c:v>
                </c:pt>
                <c:pt idx="7">
                  <c:v>70-79</c:v>
                </c:pt>
              </c:strCache>
            </c:strRef>
          </c:cat>
          <c:val>
            <c:numRef>
              <c:f>'pivot report'!$B$62:$B$70</c:f>
              <c:numCache>
                <c:formatCode>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AE1F-4B9E-A44F-FAD9908BE5C5}"/>
            </c:ext>
          </c:extLst>
        </c:ser>
        <c:dLbls>
          <c:showLegendKey val="0"/>
          <c:showVal val="0"/>
          <c:showCatName val="0"/>
          <c:showSerName val="0"/>
          <c:showPercent val="0"/>
          <c:showBubbleSize val="0"/>
        </c:dLbls>
        <c:gapWidth val="219"/>
        <c:overlap val="-27"/>
        <c:axId val="532839199"/>
        <c:axId val="532842079"/>
      </c:barChart>
      <c:catAx>
        <c:axId val="53283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32842079"/>
        <c:crosses val="autoZero"/>
        <c:auto val="1"/>
        <c:lblAlgn val="ctr"/>
        <c:lblOffset val="100"/>
        <c:noMultiLvlLbl val="0"/>
      </c:catAx>
      <c:valAx>
        <c:axId val="532842079"/>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53283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report!PivotTable9</c:name>
    <c:fmtId val="1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8495508982035927"/>
          <c:y val="0.17196783625730994"/>
          <c:w val="0.66135188394651945"/>
          <c:h val="0.64368617892722635"/>
        </c:manualLayout>
      </c:layout>
      <c:pieChart>
        <c:varyColors val="1"/>
        <c:ser>
          <c:idx val="0"/>
          <c:order val="0"/>
          <c:tx>
            <c:strRef>
              <c:f>'pivot report'!$B$74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A0-45D1-AF3D-B38BF4D680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A0-45D1-AF3D-B38BF4D680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Delay</c:v>
                </c:pt>
                <c:pt idx="1">
                  <c:v>On-Time</c:v>
                </c:pt>
              </c:strCache>
            </c:strRef>
          </c:cat>
          <c:val>
            <c:numRef>
              <c:f>'pivot report'!$B$75:$B$77</c:f>
              <c:numCache>
                <c:formatCode>0</c:formatCode>
                <c:ptCount val="2"/>
                <c:pt idx="0">
                  <c:v>257</c:v>
                </c:pt>
                <c:pt idx="1">
                  <c:v>212</c:v>
                </c:pt>
              </c:numCache>
            </c:numRef>
          </c:val>
          <c:extLst>
            <c:ext xmlns:c16="http://schemas.microsoft.com/office/drawing/2014/chart" uri="{C3380CC4-5D6E-409C-BE32-E72D297353CC}">
              <c16:uniqueId val="{00000004-62A0-45D1-AF3D-B38BF4D680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505597980203508"/>
          <c:y val="1.3907649465181691E-2"/>
          <c:w val="0.58731647530810105"/>
          <c:h val="0.14631908034021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report!PivotTable10</c:name>
    <c:fmtId val="2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634207650273225"/>
          <c:y val="0.19139390184390667"/>
          <c:w val="0.62095076440903418"/>
          <c:h val="0.71557722207352092"/>
        </c:manualLayout>
      </c:layout>
      <c:pieChart>
        <c:varyColors val="1"/>
        <c:ser>
          <c:idx val="0"/>
          <c:order val="0"/>
          <c:tx>
            <c:strRef>
              <c:f>'pivot report'!$B$80</c:f>
              <c:strCache>
                <c:ptCount val="1"/>
                <c:pt idx="0">
                  <c:v>Total</c:v>
                </c:pt>
              </c:strCache>
            </c:strRef>
          </c:tx>
          <c:explosion val="2"/>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3E-43FA-817A-8049F07C5F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3E-43FA-817A-8049F07C5F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Female</c:v>
                </c:pt>
                <c:pt idx="1">
                  <c:v>Male</c:v>
                </c:pt>
              </c:strCache>
            </c:strRef>
          </c:cat>
          <c:val>
            <c:numRef>
              <c:f>'pivot report'!$B$81:$B$83</c:f>
              <c:numCache>
                <c:formatCode>0</c:formatCode>
                <c:ptCount val="2"/>
                <c:pt idx="0">
                  <c:v>219</c:v>
                </c:pt>
                <c:pt idx="1">
                  <c:v>250</c:v>
                </c:pt>
              </c:numCache>
            </c:numRef>
          </c:val>
          <c:extLst>
            <c:ext xmlns:c16="http://schemas.microsoft.com/office/drawing/2014/chart" uri="{C3380CC4-5D6E-409C-BE32-E72D297353CC}">
              <c16:uniqueId val="{00000004-0C3E-43FA-817A-8049F07C5F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753060109289618"/>
          <c:y val="5.7553119830618567E-3"/>
          <c:w val="0.54538469945355195"/>
          <c:h val="0.254568446245820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70532212885152"/>
          <c:y val="0.11199090909090909"/>
          <c:w val="0.49436106442577032"/>
          <c:h val="0.72484666666666664"/>
        </c:manualLayout>
      </c:layout>
      <c:barChart>
        <c:barDir val="bar"/>
        <c:grouping val="clustered"/>
        <c:varyColors val="0"/>
        <c:ser>
          <c:idx val="0"/>
          <c:order val="0"/>
          <c:tx>
            <c:strRef>
              <c:f>'pivot report'!$B$86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report'!$A$87:$A$95</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report'!$B$87:$B$95</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0-D578-4856-899E-FAA05D241D5A}"/>
            </c:ext>
          </c:extLst>
        </c:ser>
        <c:dLbls>
          <c:showLegendKey val="0"/>
          <c:showVal val="0"/>
          <c:showCatName val="0"/>
          <c:showSerName val="0"/>
          <c:showPercent val="0"/>
          <c:showBubbleSize val="0"/>
        </c:dLbls>
        <c:gapWidth val="33"/>
        <c:axId val="1175336943"/>
        <c:axId val="1175335023"/>
      </c:barChart>
      <c:catAx>
        <c:axId val="117533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5335023"/>
        <c:crosses val="autoZero"/>
        <c:auto val="1"/>
        <c:lblAlgn val="ctr"/>
        <c:lblOffset val="100"/>
        <c:noMultiLvlLbl val="0"/>
      </c:catAx>
      <c:valAx>
        <c:axId val="1175335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533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report!PivotTable6</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report'!$P$11:$P$41</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report'!$Q$11:$Q$41</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4B0A-4E9B-8ECA-659D6BADC16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4884143"/>
        <c:axId val="1074880783"/>
      </c:areaChart>
      <c:catAx>
        <c:axId val="10748841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880783"/>
        <c:crosses val="autoZero"/>
        <c:auto val="1"/>
        <c:lblAlgn val="ctr"/>
        <c:lblOffset val="100"/>
        <c:noMultiLvlLbl val="0"/>
      </c:catAx>
      <c:valAx>
        <c:axId val="1074880783"/>
        <c:scaling>
          <c:orientation val="minMax"/>
        </c:scaling>
        <c:delete val="1"/>
        <c:axPos val="l"/>
        <c:numFmt formatCode="0.00" sourceLinked="1"/>
        <c:majorTickMark val="out"/>
        <c:minorTickMark val="none"/>
        <c:tickLblPos val="nextTo"/>
        <c:crossAx val="10748841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34919462459314E-2"/>
          <c:y val="0.26784604479184626"/>
          <c:w val="0.91166686364016891"/>
          <c:h val="0.65298562077330691"/>
        </c:manualLayout>
      </c:layout>
      <c:areaChart>
        <c:grouping val="standard"/>
        <c:varyColors val="0"/>
        <c:ser>
          <c:idx val="0"/>
          <c:order val="0"/>
          <c:tx>
            <c:strRef>
              <c:f>'pivot report'!$L$11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report'!$K$12:$K$42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report'!$L$12:$L$42</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B715-4B07-A78A-D909F0CF87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62109311"/>
        <c:axId val="1532883855"/>
      </c:areaChart>
      <c:catAx>
        <c:axId val="362109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solidFill>
                <a:latin typeface="+mn-lt"/>
                <a:ea typeface="+mn-ea"/>
                <a:cs typeface="+mn-cs"/>
              </a:defRPr>
            </a:pPr>
            <a:endParaRPr lang="en-US"/>
          </a:p>
        </c:txPr>
        <c:crossAx val="1532883855"/>
        <c:crosses val="autoZero"/>
        <c:auto val="1"/>
        <c:lblAlgn val="ctr"/>
        <c:lblOffset val="100"/>
        <c:noMultiLvlLbl val="0"/>
      </c:catAx>
      <c:valAx>
        <c:axId val="1532883855"/>
        <c:scaling>
          <c:orientation val="minMax"/>
        </c:scaling>
        <c:delete val="1"/>
        <c:axPos val="l"/>
        <c:numFmt formatCode="0.00" sourceLinked="1"/>
        <c:majorTickMark val="out"/>
        <c:minorTickMark val="none"/>
        <c:tickLblPos val="nextTo"/>
        <c:crossAx val="362109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53436307079275E-2"/>
          <c:y val="0.24540825692505386"/>
          <c:w val="0.79398382920375543"/>
          <c:h val="0.52505893662863157"/>
        </c:manualLayout>
      </c:layout>
      <c:areaChart>
        <c:grouping val="standard"/>
        <c:varyColors val="0"/>
        <c:ser>
          <c:idx val="0"/>
          <c:order val="0"/>
          <c:tx>
            <c:strRef>
              <c:f>'pivot report'!$F$11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report'!$E$12:$E$42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report'!$F$12:$F$42</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B659-43D3-89F2-38301BEBF9B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4600991"/>
        <c:axId val="362161183"/>
      </c:areaChart>
      <c:catAx>
        <c:axId val="4146009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62161183"/>
        <c:crosses val="autoZero"/>
        <c:auto val="1"/>
        <c:lblAlgn val="ctr"/>
        <c:lblOffset val="100"/>
        <c:noMultiLvlLbl val="0"/>
      </c:catAx>
      <c:valAx>
        <c:axId val="362161183"/>
        <c:scaling>
          <c:orientation val="minMax"/>
        </c:scaling>
        <c:delete val="1"/>
        <c:axPos val="l"/>
        <c:numFmt formatCode="General" sourceLinked="1"/>
        <c:majorTickMark val="out"/>
        <c:minorTickMark val="none"/>
        <c:tickLblPos val="nextTo"/>
        <c:crossAx val="414600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1130866</xdr:colOff>
      <xdr:row>53</xdr:row>
      <xdr:rowOff>174727</xdr:rowOff>
    </xdr:from>
    <xdr:to>
      <xdr:col>3</xdr:col>
      <xdr:colOff>1446343</xdr:colOff>
      <xdr:row>56</xdr:row>
      <xdr:rowOff>33975</xdr:rowOff>
    </xdr:to>
    <xdr:graphicFrame macro="">
      <xdr:nvGraphicFramePr>
        <xdr:cNvPr id="3" name="Chart 2">
          <a:extLst>
            <a:ext uri="{FF2B5EF4-FFF2-40B4-BE49-F238E27FC236}">
              <a16:creationId xmlns:a16="http://schemas.microsoft.com/office/drawing/2014/main" id="{D035B051-27AC-89FE-6A2D-79D48A61E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230589</xdr:colOff>
      <xdr:row>95</xdr:row>
      <xdr:rowOff>1505</xdr:rowOff>
    </xdr:from>
    <xdr:to>
      <xdr:col>3</xdr:col>
      <xdr:colOff>894549</xdr:colOff>
      <xdr:row>108</xdr:row>
      <xdr:rowOff>70849</xdr:rowOff>
    </xdr:to>
    <mc:AlternateContent xmlns:mc="http://schemas.openxmlformats.org/markup-compatibility/2006" xmlns:a14="http://schemas.microsoft.com/office/drawing/2010/main">
      <mc:Choice Requires="a14">
        <xdr:graphicFrame macro="">
          <xdr:nvGraphicFramePr>
            <xdr:cNvPr id="8" name="Date (Year)">
              <a:extLst>
                <a:ext uri="{FF2B5EF4-FFF2-40B4-BE49-F238E27FC236}">
                  <a16:creationId xmlns:a16="http://schemas.microsoft.com/office/drawing/2014/main" id="{B55E74AF-7BBD-B7C6-5540-C8528066197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793239" y="1752265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28222</xdr:colOff>
      <xdr:row>0</xdr:row>
      <xdr:rowOff>47278</xdr:rowOff>
    </xdr:from>
    <xdr:to>
      <xdr:col>5</xdr:col>
      <xdr:colOff>74964</xdr:colOff>
      <xdr:row>4</xdr:row>
      <xdr:rowOff>9912</xdr:rowOff>
    </xdr:to>
    <xdr:sp macro="" textlink="">
      <xdr:nvSpPr>
        <xdr:cNvPr id="2" name="Rectangle: Rounded Corners 1">
          <a:extLst>
            <a:ext uri="{FF2B5EF4-FFF2-40B4-BE49-F238E27FC236}">
              <a16:creationId xmlns:a16="http://schemas.microsoft.com/office/drawing/2014/main" id="{E6870FEC-99DF-A96B-E38F-580371A1A8A0}"/>
            </a:ext>
          </a:extLst>
        </xdr:cNvPr>
        <xdr:cNvSpPr/>
      </xdr:nvSpPr>
      <xdr:spPr>
        <a:xfrm>
          <a:off x="28222" y="47278"/>
          <a:ext cx="3106742" cy="68263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518224</xdr:colOff>
      <xdr:row>0</xdr:row>
      <xdr:rowOff>72001</xdr:rowOff>
    </xdr:from>
    <xdr:to>
      <xdr:col>10</xdr:col>
      <xdr:colOff>198000</xdr:colOff>
      <xdr:row>11</xdr:row>
      <xdr:rowOff>12000</xdr:rowOff>
    </xdr:to>
    <xdr:sp macro="" textlink="">
      <xdr:nvSpPr>
        <xdr:cNvPr id="4" name="Rectangle: Rounded Corners 3">
          <a:extLst>
            <a:ext uri="{FF2B5EF4-FFF2-40B4-BE49-F238E27FC236}">
              <a16:creationId xmlns:a16="http://schemas.microsoft.com/office/drawing/2014/main" id="{3C855440-CA4B-5A32-14E6-7A8B20C301AF}"/>
            </a:ext>
          </a:extLst>
        </xdr:cNvPr>
        <xdr:cNvSpPr/>
      </xdr:nvSpPr>
      <xdr:spPr>
        <a:xfrm>
          <a:off x="4802224" y="72001"/>
          <a:ext cx="1515776" cy="1919999"/>
        </a:xfrm>
        <a:prstGeom prst="roundRect">
          <a:avLst>
            <a:gd name="adj" fmla="val 812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155862</xdr:colOff>
      <xdr:row>0</xdr:row>
      <xdr:rowOff>48000</xdr:rowOff>
    </xdr:from>
    <xdr:to>
      <xdr:col>7</xdr:col>
      <xdr:colOff>384000</xdr:colOff>
      <xdr:row>3</xdr:row>
      <xdr:rowOff>129887</xdr:rowOff>
    </xdr:to>
    <xdr:sp macro="" textlink="">
      <xdr:nvSpPr>
        <xdr:cNvPr id="5" name="Rectangle: Rounded Corners 4">
          <a:extLst>
            <a:ext uri="{FF2B5EF4-FFF2-40B4-BE49-F238E27FC236}">
              <a16:creationId xmlns:a16="http://schemas.microsoft.com/office/drawing/2014/main" id="{E11536E1-8A87-778E-B633-C7E3B1413BF7}"/>
            </a:ext>
          </a:extLst>
        </xdr:cNvPr>
        <xdr:cNvSpPr/>
      </xdr:nvSpPr>
      <xdr:spPr>
        <a:xfrm>
          <a:off x="3215862" y="48000"/>
          <a:ext cx="1452138" cy="621887"/>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264000</xdr:colOff>
      <xdr:row>0</xdr:row>
      <xdr:rowOff>66000</xdr:rowOff>
    </xdr:from>
    <xdr:to>
      <xdr:col>12</xdr:col>
      <xdr:colOff>467999</xdr:colOff>
      <xdr:row>11</xdr:row>
      <xdr:rowOff>0</xdr:rowOff>
    </xdr:to>
    <xdr:sp macro="" textlink="">
      <xdr:nvSpPr>
        <xdr:cNvPr id="6" name="Rectangle: Rounded Corners 5">
          <a:extLst>
            <a:ext uri="{FF2B5EF4-FFF2-40B4-BE49-F238E27FC236}">
              <a16:creationId xmlns:a16="http://schemas.microsoft.com/office/drawing/2014/main" id="{E8F8F28C-D563-A66D-F08C-4A5E5D9672B5}"/>
            </a:ext>
          </a:extLst>
        </xdr:cNvPr>
        <xdr:cNvSpPr/>
      </xdr:nvSpPr>
      <xdr:spPr>
        <a:xfrm>
          <a:off x="6384000" y="66000"/>
          <a:ext cx="1427999" cy="1914000"/>
        </a:xfrm>
        <a:prstGeom prst="roundRect">
          <a:avLst>
            <a:gd name="adj" fmla="val 812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56445</xdr:colOff>
      <xdr:row>4</xdr:row>
      <xdr:rowOff>71999</xdr:rowOff>
    </xdr:from>
    <xdr:to>
      <xdr:col>1</xdr:col>
      <xdr:colOff>120001</xdr:colOff>
      <xdr:row>20</xdr:row>
      <xdr:rowOff>77610</xdr:rowOff>
    </xdr:to>
    <xdr:sp macro="" textlink="">
      <xdr:nvSpPr>
        <xdr:cNvPr id="7" name="Rectangle: Rounded Corners 6">
          <a:extLst>
            <a:ext uri="{FF2B5EF4-FFF2-40B4-BE49-F238E27FC236}">
              <a16:creationId xmlns:a16="http://schemas.microsoft.com/office/drawing/2014/main" id="{C67196A6-DF47-6679-0E89-635123833079}"/>
            </a:ext>
          </a:extLst>
        </xdr:cNvPr>
        <xdr:cNvSpPr/>
      </xdr:nvSpPr>
      <xdr:spPr>
        <a:xfrm>
          <a:off x="56445" y="791999"/>
          <a:ext cx="675556" cy="2885611"/>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239352</xdr:colOff>
      <xdr:row>4</xdr:row>
      <xdr:rowOff>82449</xdr:rowOff>
    </xdr:from>
    <xdr:to>
      <xdr:col>5</xdr:col>
      <xdr:colOff>211666</xdr:colOff>
      <xdr:row>10</xdr:row>
      <xdr:rowOff>134056</xdr:rowOff>
    </xdr:to>
    <xdr:sp macro="" textlink="">
      <xdr:nvSpPr>
        <xdr:cNvPr id="9" name="Rectangle: Rounded Corners 8">
          <a:extLst>
            <a:ext uri="{FF2B5EF4-FFF2-40B4-BE49-F238E27FC236}">
              <a16:creationId xmlns:a16="http://schemas.microsoft.com/office/drawing/2014/main" id="{51D2CF3D-5124-CAAC-AF0A-02C60C0DD449}"/>
            </a:ext>
          </a:extLst>
        </xdr:cNvPr>
        <xdr:cNvSpPr/>
      </xdr:nvSpPr>
      <xdr:spPr>
        <a:xfrm>
          <a:off x="2059685" y="816227"/>
          <a:ext cx="1185870" cy="1152273"/>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274800</xdr:colOff>
      <xdr:row>4</xdr:row>
      <xdr:rowOff>84000</xdr:rowOff>
    </xdr:from>
    <xdr:to>
      <xdr:col>7</xdr:col>
      <xdr:colOff>360000</xdr:colOff>
      <xdr:row>10</xdr:row>
      <xdr:rowOff>118233</xdr:rowOff>
    </xdr:to>
    <xdr:sp macro="" textlink="">
      <xdr:nvSpPr>
        <xdr:cNvPr id="10" name="Rectangle: Rounded Corners 9">
          <a:extLst>
            <a:ext uri="{FF2B5EF4-FFF2-40B4-BE49-F238E27FC236}">
              <a16:creationId xmlns:a16="http://schemas.microsoft.com/office/drawing/2014/main" id="{CCAE5B92-3D4D-FF77-C269-4263D78057FB}"/>
            </a:ext>
          </a:extLst>
        </xdr:cNvPr>
        <xdr:cNvSpPr/>
      </xdr:nvSpPr>
      <xdr:spPr>
        <a:xfrm>
          <a:off x="3334800" y="804000"/>
          <a:ext cx="1309200" cy="1114233"/>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266333</xdr:colOff>
      <xdr:row>14</xdr:row>
      <xdr:rowOff>126000</xdr:rowOff>
    </xdr:from>
    <xdr:to>
      <xdr:col>7</xdr:col>
      <xdr:colOff>456000</xdr:colOff>
      <xdr:row>20</xdr:row>
      <xdr:rowOff>131611</xdr:rowOff>
    </xdr:to>
    <xdr:sp macro="" textlink="">
      <xdr:nvSpPr>
        <xdr:cNvPr id="14" name="Rectangle: Rounded Corners 13">
          <a:extLst>
            <a:ext uri="{FF2B5EF4-FFF2-40B4-BE49-F238E27FC236}">
              <a16:creationId xmlns:a16="http://schemas.microsoft.com/office/drawing/2014/main" id="{3C7B8E6A-C936-49A3-FFEC-DF7513C4FDE4}"/>
            </a:ext>
          </a:extLst>
        </xdr:cNvPr>
        <xdr:cNvSpPr/>
      </xdr:nvSpPr>
      <xdr:spPr>
        <a:xfrm>
          <a:off x="878333" y="2646000"/>
          <a:ext cx="3861667" cy="1085611"/>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234000</xdr:colOff>
      <xdr:row>11</xdr:row>
      <xdr:rowOff>63500</xdr:rowOff>
    </xdr:from>
    <xdr:to>
      <xdr:col>7</xdr:col>
      <xdr:colOff>409223</xdr:colOff>
      <xdr:row>14</xdr:row>
      <xdr:rowOff>60000</xdr:rowOff>
    </xdr:to>
    <xdr:sp macro="" textlink="">
      <xdr:nvSpPr>
        <xdr:cNvPr id="15" name="Rectangle: Rounded Corners 14">
          <a:extLst>
            <a:ext uri="{FF2B5EF4-FFF2-40B4-BE49-F238E27FC236}">
              <a16:creationId xmlns:a16="http://schemas.microsoft.com/office/drawing/2014/main" id="{640A21BA-FAE0-BD1D-77EE-48B25E853818}"/>
            </a:ext>
          </a:extLst>
        </xdr:cNvPr>
        <xdr:cNvSpPr/>
      </xdr:nvSpPr>
      <xdr:spPr>
        <a:xfrm>
          <a:off x="846000" y="2043500"/>
          <a:ext cx="3847223" cy="536500"/>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528000</xdr:colOff>
      <xdr:row>11</xdr:row>
      <xdr:rowOff>102000</xdr:rowOff>
    </xdr:from>
    <xdr:to>
      <xdr:col>12</xdr:col>
      <xdr:colOff>534000</xdr:colOff>
      <xdr:row>20</xdr:row>
      <xdr:rowOff>120000</xdr:rowOff>
    </xdr:to>
    <xdr:sp macro="" textlink="">
      <xdr:nvSpPr>
        <xdr:cNvPr id="18" name="Rectangle: Rounded Corners 17">
          <a:extLst>
            <a:ext uri="{FF2B5EF4-FFF2-40B4-BE49-F238E27FC236}">
              <a16:creationId xmlns:a16="http://schemas.microsoft.com/office/drawing/2014/main" id="{4B2CE349-0D12-244A-2F63-D9450DDE070F}"/>
            </a:ext>
          </a:extLst>
        </xdr:cNvPr>
        <xdr:cNvSpPr/>
      </xdr:nvSpPr>
      <xdr:spPr>
        <a:xfrm>
          <a:off x="4812000" y="2082000"/>
          <a:ext cx="3066000" cy="1638000"/>
        </a:xfrm>
        <a:prstGeom prst="roundRect">
          <a:avLst>
            <a:gd name="adj" fmla="val 812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108239</xdr:colOff>
      <xdr:row>0</xdr:row>
      <xdr:rowOff>177511</xdr:rowOff>
    </xdr:from>
    <xdr:to>
      <xdr:col>5</xdr:col>
      <xdr:colOff>38965</xdr:colOff>
      <xdr:row>2</xdr:row>
      <xdr:rowOff>0</xdr:rowOff>
    </xdr:to>
    <xdr:sp macro="" textlink="">
      <xdr:nvSpPr>
        <xdr:cNvPr id="19" name="TextBox 18">
          <a:extLst>
            <a:ext uri="{FF2B5EF4-FFF2-40B4-BE49-F238E27FC236}">
              <a16:creationId xmlns:a16="http://schemas.microsoft.com/office/drawing/2014/main" id="{4CB9536A-76CC-9451-A4FC-2D405AEC3689}"/>
            </a:ext>
          </a:extLst>
        </xdr:cNvPr>
        <xdr:cNvSpPr txBox="1"/>
      </xdr:nvSpPr>
      <xdr:spPr>
        <a:xfrm>
          <a:off x="718705" y="177511"/>
          <a:ext cx="2372590" cy="186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400" b="1">
              <a:solidFill>
                <a:schemeClr val="accent2">
                  <a:lumMod val="50000"/>
                </a:schemeClr>
              </a:solidFill>
            </a:rPr>
            <a:t>Hospital</a:t>
          </a:r>
          <a:r>
            <a:rPr lang="en-US" sz="1400" b="1" baseline="0">
              <a:solidFill>
                <a:schemeClr val="accent2">
                  <a:lumMod val="50000"/>
                </a:schemeClr>
              </a:solidFill>
            </a:rPr>
            <a:t> Emergency room vision</a:t>
          </a:r>
          <a:endParaRPr lang="en-US" sz="1400" b="1">
            <a:solidFill>
              <a:schemeClr val="accent2">
                <a:lumMod val="50000"/>
              </a:schemeClr>
            </a:solidFill>
          </a:endParaRPr>
        </a:p>
      </xdr:txBody>
    </xdr:sp>
    <xdr:clientData/>
  </xdr:twoCellAnchor>
  <xdr:twoCellAnchor editAs="oneCell">
    <xdr:from>
      <xdr:col>0</xdr:col>
      <xdr:colOff>12000</xdr:colOff>
      <xdr:row>0</xdr:row>
      <xdr:rowOff>8021</xdr:rowOff>
    </xdr:from>
    <xdr:to>
      <xdr:col>1</xdr:col>
      <xdr:colOff>352912</xdr:colOff>
      <xdr:row>3</xdr:row>
      <xdr:rowOff>100514</xdr:rowOff>
    </xdr:to>
    <xdr:pic>
      <xdr:nvPicPr>
        <xdr:cNvPr id="21" name="Picture 20">
          <a:extLst>
            <a:ext uri="{FF2B5EF4-FFF2-40B4-BE49-F238E27FC236}">
              <a16:creationId xmlns:a16="http://schemas.microsoft.com/office/drawing/2014/main" id="{3477A879-2A29-4975-917D-5C2EA09A42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149" t="-806" r="805" b="5645"/>
        <a:stretch>
          <a:fillRect/>
        </a:stretch>
      </xdr:blipFill>
      <xdr:spPr>
        <a:xfrm>
          <a:off x="12000" y="8021"/>
          <a:ext cx="952912" cy="632493"/>
        </a:xfrm>
        <a:prstGeom prst="rect">
          <a:avLst/>
        </a:prstGeom>
      </xdr:spPr>
    </xdr:pic>
    <xdr:clientData/>
  </xdr:twoCellAnchor>
  <xdr:twoCellAnchor editAs="absolute">
    <xdr:from>
      <xdr:col>1</xdr:col>
      <xdr:colOff>329045</xdr:colOff>
      <xdr:row>4</xdr:row>
      <xdr:rowOff>155863</xdr:rowOff>
    </xdr:from>
    <xdr:to>
      <xdr:col>2</xdr:col>
      <xdr:colOff>437284</xdr:colOff>
      <xdr:row>5</xdr:row>
      <xdr:rowOff>147204</xdr:rowOff>
    </xdr:to>
    <xdr:sp macro="" textlink="">
      <xdr:nvSpPr>
        <xdr:cNvPr id="29" name="TextBox 28">
          <a:extLst>
            <a:ext uri="{FF2B5EF4-FFF2-40B4-BE49-F238E27FC236}">
              <a16:creationId xmlns:a16="http://schemas.microsoft.com/office/drawing/2014/main" id="{024EADEE-1432-48DF-CCCD-73660317E6F2}"/>
            </a:ext>
          </a:extLst>
        </xdr:cNvPr>
        <xdr:cNvSpPr txBox="1"/>
      </xdr:nvSpPr>
      <xdr:spPr>
        <a:xfrm>
          <a:off x="939511" y="883227"/>
          <a:ext cx="718705" cy="17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900"/>
        </a:p>
      </xdr:txBody>
    </xdr:sp>
    <xdr:clientData/>
  </xdr:twoCellAnchor>
  <xdr:twoCellAnchor editAs="absolute">
    <xdr:from>
      <xdr:col>1</xdr:col>
      <xdr:colOff>333374</xdr:colOff>
      <xdr:row>6</xdr:row>
      <xdr:rowOff>17318</xdr:rowOff>
    </xdr:from>
    <xdr:to>
      <xdr:col>2</xdr:col>
      <xdr:colOff>441613</xdr:colOff>
      <xdr:row>7</xdr:row>
      <xdr:rowOff>8659</xdr:rowOff>
    </xdr:to>
    <xdr:sp macro="" textlink="">
      <xdr:nvSpPr>
        <xdr:cNvPr id="31" name="TextBox 30">
          <a:extLst>
            <a:ext uri="{FF2B5EF4-FFF2-40B4-BE49-F238E27FC236}">
              <a16:creationId xmlns:a16="http://schemas.microsoft.com/office/drawing/2014/main" id="{253A39FE-4219-DEFA-2878-A9DD290885A8}"/>
            </a:ext>
          </a:extLst>
        </xdr:cNvPr>
        <xdr:cNvSpPr txBox="1"/>
      </xdr:nvSpPr>
      <xdr:spPr>
        <a:xfrm>
          <a:off x="943840" y="1108363"/>
          <a:ext cx="718705" cy="17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900"/>
        </a:p>
      </xdr:txBody>
    </xdr:sp>
    <xdr:clientData/>
  </xdr:twoCellAnchor>
  <xdr:twoCellAnchor editAs="absolute">
    <xdr:from>
      <xdr:col>1</xdr:col>
      <xdr:colOff>324715</xdr:colOff>
      <xdr:row>4</xdr:row>
      <xdr:rowOff>129885</xdr:rowOff>
    </xdr:from>
    <xdr:to>
      <xdr:col>2</xdr:col>
      <xdr:colOff>432954</xdr:colOff>
      <xdr:row>5</xdr:row>
      <xdr:rowOff>121226</xdr:rowOff>
    </xdr:to>
    <xdr:sp macro="" textlink="">
      <xdr:nvSpPr>
        <xdr:cNvPr id="32" name="TextBox 31">
          <a:extLst>
            <a:ext uri="{FF2B5EF4-FFF2-40B4-BE49-F238E27FC236}">
              <a16:creationId xmlns:a16="http://schemas.microsoft.com/office/drawing/2014/main" id="{346FA75A-6C13-58CE-A4A6-466C7CB4D1A7}"/>
            </a:ext>
          </a:extLst>
        </xdr:cNvPr>
        <xdr:cNvSpPr txBox="1"/>
      </xdr:nvSpPr>
      <xdr:spPr>
        <a:xfrm>
          <a:off x="935181" y="857249"/>
          <a:ext cx="718705" cy="17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900"/>
        </a:p>
      </xdr:txBody>
    </xdr:sp>
    <xdr:clientData/>
  </xdr:twoCellAnchor>
  <xdr:twoCellAnchor editAs="absolute">
    <xdr:from>
      <xdr:col>1</xdr:col>
      <xdr:colOff>359351</xdr:colOff>
      <xdr:row>6</xdr:row>
      <xdr:rowOff>25977</xdr:rowOff>
    </xdr:from>
    <xdr:to>
      <xdr:col>2</xdr:col>
      <xdr:colOff>467590</xdr:colOff>
      <xdr:row>7</xdr:row>
      <xdr:rowOff>17318</xdr:rowOff>
    </xdr:to>
    <xdr:sp macro="" textlink="">
      <xdr:nvSpPr>
        <xdr:cNvPr id="33" name="TextBox 32">
          <a:extLst>
            <a:ext uri="{FF2B5EF4-FFF2-40B4-BE49-F238E27FC236}">
              <a16:creationId xmlns:a16="http://schemas.microsoft.com/office/drawing/2014/main" id="{B31663A2-2BF6-84AD-2152-82E7BCF968E3}"/>
            </a:ext>
          </a:extLst>
        </xdr:cNvPr>
        <xdr:cNvSpPr txBox="1"/>
      </xdr:nvSpPr>
      <xdr:spPr>
        <a:xfrm>
          <a:off x="969817" y="1117022"/>
          <a:ext cx="718705" cy="173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900"/>
        </a:p>
      </xdr:txBody>
    </xdr:sp>
    <xdr:clientData/>
  </xdr:twoCellAnchor>
  <xdr:twoCellAnchor editAs="absolute">
    <xdr:from>
      <xdr:col>1</xdr:col>
      <xdr:colOff>262819</xdr:colOff>
      <xdr:row>4</xdr:row>
      <xdr:rowOff>98778</xdr:rowOff>
    </xdr:from>
    <xdr:to>
      <xdr:col>3</xdr:col>
      <xdr:colOff>141112</xdr:colOff>
      <xdr:row>10</xdr:row>
      <xdr:rowOff>155223</xdr:rowOff>
    </xdr:to>
    <xdr:sp macro="" textlink="">
      <xdr:nvSpPr>
        <xdr:cNvPr id="34" name="Rectangle: Rounded Corners 33">
          <a:extLst>
            <a:ext uri="{FF2B5EF4-FFF2-40B4-BE49-F238E27FC236}">
              <a16:creationId xmlns:a16="http://schemas.microsoft.com/office/drawing/2014/main" id="{923CBC35-7364-C5AF-646D-51F234A21C9B}"/>
            </a:ext>
          </a:extLst>
        </xdr:cNvPr>
        <xdr:cNvSpPr/>
      </xdr:nvSpPr>
      <xdr:spPr>
        <a:xfrm>
          <a:off x="869597" y="832556"/>
          <a:ext cx="1091848" cy="1157111"/>
        </a:xfrm>
        <a:prstGeom prst="roundRect">
          <a:avLst>
            <a:gd name="adj" fmla="val 675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31107</xdr:colOff>
      <xdr:row>5</xdr:row>
      <xdr:rowOff>141272</xdr:rowOff>
    </xdr:from>
    <xdr:to>
      <xdr:col>2</xdr:col>
      <xdr:colOff>594590</xdr:colOff>
      <xdr:row>6</xdr:row>
      <xdr:rowOff>132612</xdr:rowOff>
    </xdr:to>
    <xdr:sp macro="" textlink="'pivot report'!A8">
      <xdr:nvSpPr>
        <xdr:cNvPr id="35" name="TextBox 34">
          <a:extLst>
            <a:ext uri="{FF2B5EF4-FFF2-40B4-BE49-F238E27FC236}">
              <a16:creationId xmlns:a16="http://schemas.microsoft.com/office/drawing/2014/main" id="{8E4E9C95-CD5C-AD49-4CA9-13A7A28E1D38}"/>
            </a:ext>
          </a:extLst>
        </xdr:cNvPr>
        <xdr:cNvSpPr txBox="1"/>
      </xdr:nvSpPr>
      <xdr:spPr>
        <a:xfrm>
          <a:off x="1244663" y="1058494"/>
          <a:ext cx="563483" cy="17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90675C0A-16C1-4F9F-88C6-798BC88EAB6F}" type="TxLink">
            <a:rPr lang="en-US" sz="1100" b="0" i="0" u="none" strike="noStrike">
              <a:solidFill>
                <a:srgbClr val="000000"/>
              </a:solidFill>
              <a:latin typeface="Calibri"/>
              <a:ea typeface="Calibri"/>
              <a:cs typeface="Calibri"/>
            </a:rPr>
            <a:pPr/>
            <a:t>469</a:t>
          </a:fld>
          <a:endParaRPr lang="en-US" sz="900"/>
        </a:p>
      </xdr:txBody>
    </xdr:sp>
    <xdr:clientData/>
  </xdr:twoCellAnchor>
  <xdr:twoCellAnchor editAs="absolute">
    <xdr:from>
      <xdr:col>1</xdr:col>
      <xdr:colOff>409863</xdr:colOff>
      <xdr:row>6</xdr:row>
      <xdr:rowOff>12667</xdr:rowOff>
    </xdr:from>
    <xdr:to>
      <xdr:col>2</xdr:col>
      <xdr:colOff>518102</xdr:colOff>
      <xdr:row>7</xdr:row>
      <xdr:rowOff>4008</xdr:rowOff>
    </xdr:to>
    <xdr:sp macro="" textlink="">
      <xdr:nvSpPr>
        <xdr:cNvPr id="36" name="TextBox 35">
          <a:extLst>
            <a:ext uri="{FF2B5EF4-FFF2-40B4-BE49-F238E27FC236}">
              <a16:creationId xmlns:a16="http://schemas.microsoft.com/office/drawing/2014/main" id="{2D7585E1-CAAD-2068-2574-90980CF91A45}"/>
            </a:ext>
          </a:extLst>
        </xdr:cNvPr>
        <xdr:cNvSpPr txBox="1"/>
      </xdr:nvSpPr>
      <xdr:spPr>
        <a:xfrm>
          <a:off x="1016641" y="1113334"/>
          <a:ext cx="715017" cy="17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US" sz="1100"/>
        </a:p>
      </xdr:txBody>
    </xdr:sp>
    <xdr:clientData/>
  </xdr:twoCellAnchor>
  <xdr:twoCellAnchor editAs="absolute">
    <xdr:from>
      <xdr:col>1</xdr:col>
      <xdr:colOff>403911</xdr:colOff>
      <xdr:row>7</xdr:row>
      <xdr:rowOff>19395</xdr:rowOff>
    </xdr:from>
    <xdr:to>
      <xdr:col>3</xdr:col>
      <xdr:colOff>64169</xdr:colOff>
      <xdr:row>8</xdr:row>
      <xdr:rowOff>64167</xdr:rowOff>
    </xdr:to>
    <xdr:sp macro="" textlink="">
      <xdr:nvSpPr>
        <xdr:cNvPr id="37" name="TextBox 36">
          <a:extLst>
            <a:ext uri="{FF2B5EF4-FFF2-40B4-BE49-F238E27FC236}">
              <a16:creationId xmlns:a16="http://schemas.microsoft.com/office/drawing/2014/main" id="{1EC5A57C-CABE-185F-B57E-EF26E3E54F5C}"/>
            </a:ext>
          </a:extLst>
        </xdr:cNvPr>
        <xdr:cNvSpPr txBox="1"/>
      </xdr:nvSpPr>
      <xdr:spPr>
        <a:xfrm>
          <a:off x="1013511" y="1310784"/>
          <a:ext cx="879458" cy="229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a:t>No.Of Patient</a:t>
          </a:r>
        </a:p>
      </xdr:txBody>
    </xdr:sp>
    <xdr:clientData/>
  </xdr:twoCellAnchor>
  <xdr:twoCellAnchor editAs="absolute">
    <xdr:from>
      <xdr:col>6</xdr:col>
      <xdr:colOff>66025</xdr:colOff>
      <xdr:row>5</xdr:row>
      <xdr:rowOff>126213</xdr:rowOff>
    </xdr:from>
    <xdr:to>
      <xdr:col>7</xdr:col>
      <xdr:colOff>17509</xdr:colOff>
      <xdr:row>6</xdr:row>
      <xdr:rowOff>117553</xdr:rowOff>
    </xdr:to>
    <xdr:sp macro="" textlink="'pivot report'!A19">
      <xdr:nvSpPr>
        <xdr:cNvPr id="42" name="TextBox 41">
          <a:extLst>
            <a:ext uri="{FF2B5EF4-FFF2-40B4-BE49-F238E27FC236}">
              <a16:creationId xmlns:a16="http://schemas.microsoft.com/office/drawing/2014/main" id="{88411897-D1D8-5376-0607-321FE8F219BE}"/>
            </a:ext>
          </a:extLst>
        </xdr:cNvPr>
        <xdr:cNvSpPr txBox="1"/>
      </xdr:nvSpPr>
      <xdr:spPr>
        <a:xfrm>
          <a:off x="3738025" y="1026213"/>
          <a:ext cx="563484" cy="171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69ED42CA-D9D8-4442-8A16-060ABDA1C7D4}" type="TxLink">
            <a:rPr lang="en-US" sz="1100" b="0" i="0" u="none" strike="noStrike">
              <a:solidFill>
                <a:srgbClr val="000000"/>
              </a:solidFill>
              <a:latin typeface="Calibri"/>
              <a:ea typeface="Calibri"/>
              <a:cs typeface="Calibri"/>
            </a:rPr>
            <a:pPr/>
            <a:t>4.984</a:t>
          </a:fld>
          <a:endParaRPr lang="en-US" sz="900"/>
        </a:p>
      </xdr:txBody>
    </xdr:sp>
    <xdr:clientData/>
  </xdr:twoCellAnchor>
  <xdr:twoCellAnchor editAs="absolute">
    <xdr:from>
      <xdr:col>5</xdr:col>
      <xdr:colOff>352701</xdr:colOff>
      <xdr:row>6</xdr:row>
      <xdr:rowOff>170165</xdr:rowOff>
    </xdr:from>
    <xdr:to>
      <xdr:col>7</xdr:col>
      <xdr:colOff>462001</xdr:colOff>
      <xdr:row>8</xdr:row>
      <xdr:rowOff>36001</xdr:rowOff>
    </xdr:to>
    <xdr:sp macro="" textlink="">
      <xdr:nvSpPr>
        <xdr:cNvPr id="43" name="TextBox 42">
          <a:extLst>
            <a:ext uri="{FF2B5EF4-FFF2-40B4-BE49-F238E27FC236}">
              <a16:creationId xmlns:a16="http://schemas.microsoft.com/office/drawing/2014/main" id="{FE97A97A-4F21-56A6-41D6-17BD5F5CC9EE}"/>
            </a:ext>
          </a:extLst>
        </xdr:cNvPr>
        <xdr:cNvSpPr txBox="1"/>
      </xdr:nvSpPr>
      <xdr:spPr>
        <a:xfrm>
          <a:off x="3412701" y="1250165"/>
          <a:ext cx="1333300" cy="22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900"/>
            <a:t>Patient Satisfaction</a:t>
          </a:r>
          <a:r>
            <a:rPr lang="en-US" sz="900" baseline="0"/>
            <a:t> Score</a:t>
          </a:r>
          <a:endParaRPr lang="en-US" sz="900"/>
        </a:p>
      </xdr:txBody>
    </xdr:sp>
    <xdr:clientData/>
  </xdr:twoCellAnchor>
  <xdr:twoCellAnchor editAs="absolute">
    <xdr:from>
      <xdr:col>3</xdr:col>
      <xdr:colOff>587212</xdr:colOff>
      <xdr:row>5</xdr:row>
      <xdr:rowOff>128765</xdr:rowOff>
    </xdr:from>
    <xdr:to>
      <xdr:col>4</xdr:col>
      <xdr:colOff>543917</xdr:colOff>
      <xdr:row>6</xdr:row>
      <xdr:rowOff>120105</xdr:rowOff>
    </xdr:to>
    <xdr:sp macro="" textlink="'pivot report'!A15">
      <xdr:nvSpPr>
        <xdr:cNvPr id="44" name="TextBox 43">
          <a:extLst>
            <a:ext uri="{FF2B5EF4-FFF2-40B4-BE49-F238E27FC236}">
              <a16:creationId xmlns:a16="http://schemas.microsoft.com/office/drawing/2014/main" id="{CD4E2165-A069-1B85-1037-EE14D61D4699}"/>
            </a:ext>
          </a:extLst>
        </xdr:cNvPr>
        <xdr:cNvSpPr txBox="1"/>
      </xdr:nvSpPr>
      <xdr:spPr>
        <a:xfrm>
          <a:off x="2407545" y="1045987"/>
          <a:ext cx="563483" cy="17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47ABC7AF-68FE-4343-9DAA-63C5C83EA98E}" type="TxLink">
            <a:rPr lang="en-US" sz="1100" b="0" i="0" u="none" strike="noStrike">
              <a:solidFill>
                <a:srgbClr val="000000"/>
              </a:solidFill>
              <a:latin typeface="Calibri"/>
              <a:ea typeface="Calibri"/>
              <a:cs typeface="Calibri"/>
            </a:rPr>
            <a:pPr/>
            <a:t>34.269</a:t>
          </a:fld>
          <a:endParaRPr lang="en-US" sz="900"/>
        </a:p>
      </xdr:txBody>
    </xdr:sp>
    <xdr:clientData/>
  </xdr:twoCellAnchor>
  <xdr:twoCellAnchor editAs="absolute">
    <xdr:from>
      <xdr:col>3</xdr:col>
      <xdr:colOff>372002</xdr:colOff>
      <xdr:row>6</xdr:row>
      <xdr:rowOff>141738</xdr:rowOff>
    </xdr:from>
    <xdr:to>
      <xdr:col>5</xdr:col>
      <xdr:colOff>56147</xdr:colOff>
      <xdr:row>8</xdr:row>
      <xdr:rowOff>80210</xdr:rowOff>
    </xdr:to>
    <xdr:sp macro="" textlink="">
      <xdr:nvSpPr>
        <xdr:cNvPr id="45" name="TextBox 44">
          <a:extLst>
            <a:ext uri="{FF2B5EF4-FFF2-40B4-BE49-F238E27FC236}">
              <a16:creationId xmlns:a16="http://schemas.microsoft.com/office/drawing/2014/main" id="{75ACDEE9-FDEC-F037-5C57-22A019DA4457}"/>
            </a:ext>
          </a:extLst>
        </xdr:cNvPr>
        <xdr:cNvSpPr txBox="1"/>
      </xdr:nvSpPr>
      <xdr:spPr>
        <a:xfrm>
          <a:off x="2200802" y="1248643"/>
          <a:ext cx="903345" cy="307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a:t>Avg</a:t>
          </a:r>
          <a:r>
            <a:rPr lang="en-US" sz="1100" baseline="0"/>
            <a:t> . WaitTime</a:t>
          </a:r>
          <a:endParaRPr lang="en-US" sz="1100"/>
        </a:p>
      </xdr:txBody>
    </xdr:sp>
    <xdr:clientData/>
  </xdr:twoCellAnchor>
  <xdr:twoCellAnchor editAs="oneCell">
    <xdr:from>
      <xdr:col>2</xdr:col>
      <xdr:colOff>353392</xdr:colOff>
      <xdr:row>4</xdr:row>
      <xdr:rowOff>88716</xdr:rowOff>
    </xdr:from>
    <xdr:to>
      <xdr:col>3</xdr:col>
      <xdr:colOff>101638</xdr:colOff>
      <xdr:row>6</xdr:row>
      <xdr:rowOff>80058</xdr:rowOff>
    </xdr:to>
    <xdr:pic>
      <xdr:nvPicPr>
        <xdr:cNvPr id="47" name="Graphic 46" descr="Users with solid fill">
          <a:extLst>
            <a:ext uri="{FF2B5EF4-FFF2-40B4-BE49-F238E27FC236}">
              <a16:creationId xmlns:a16="http://schemas.microsoft.com/office/drawing/2014/main" id="{723C030E-A8EA-F9A3-40FE-08D092F9B1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77392" y="808716"/>
          <a:ext cx="360246" cy="351342"/>
        </a:xfrm>
        <a:prstGeom prst="rect">
          <a:avLst/>
        </a:prstGeom>
      </xdr:spPr>
    </xdr:pic>
    <xdr:clientData/>
  </xdr:twoCellAnchor>
  <xdr:twoCellAnchor editAs="oneCell">
    <xdr:from>
      <xdr:col>4</xdr:col>
      <xdr:colOff>539242</xdr:colOff>
      <xdr:row>4</xdr:row>
      <xdr:rowOff>176242</xdr:rowOff>
    </xdr:from>
    <xdr:to>
      <xdr:col>5</xdr:col>
      <xdr:colOff>157600</xdr:colOff>
      <xdr:row>6</xdr:row>
      <xdr:rowOff>36092</xdr:rowOff>
    </xdr:to>
    <xdr:pic>
      <xdr:nvPicPr>
        <xdr:cNvPr id="49" name="Graphic 48" descr="Hourglass Finished with solid fill">
          <a:extLst>
            <a:ext uri="{FF2B5EF4-FFF2-40B4-BE49-F238E27FC236}">
              <a16:creationId xmlns:a16="http://schemas.microsoft.com/office/drawing/2014/main" id="{302AD015-2812-950B-DFC0-524D223A12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87242" y="896242"/>
          <a:ext cx="230358" cy="219850"/>
        </a:xfrm>
        <a:prstGeom prst="rect">
          <a:avLst/>
        </a:prstGeom>
      </xdr:spPr>
    </xdr:pic>
    <xdr:clientData/>
  </xdr:twoCellAnchor>
  <xdr:twoCellAnchor editAs="oneCell">
    <xdr:from>
      <xdr:col>7</xdr:col>
      <xdr:colOff>25247</xdr:colOff>
      <xdr:row>4</xdr:row>
      <xdr:rowOff>154729</xdr:rowOff>
    </xdr:from>
    <xdr:to>
      <xdr:col>7</xdr:col>
      <xdr:colOff>271000</xdr:colOff>
      <xdr:row>6</xdr:row>
      <xdr:rowOff>44315</xdr:rowOff>
    </xdr:to>
    <xdr:pic>
      <xdr:nvPicPr>
        <xdr:cNvPr id="51" name="Graphic 50" descr="Customer review with solid fill">
          <a:extLst>
            <a:ext uri="{FF2B5EF4-FFF2-40B4-BE49-F238E27FC236}">
              <a16:creationId xmlns:a16="http://schemas.microsoft.com/office/drawing/2014/main" id="{0BF1AD52-A171-3F8D-EBB0-F64E2D44590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09247" y="874729"/>
          <a:ext cx="245753" cy="249586"/>
        </a:xfrm>
        <a:prstGeom prst="rect">
          <a:avLst/>
        </a:prstGeom>
      </xdr:spPr>
    </xdr:pic>
    <xdr:clientData/>
  </xdr:twoCellAnchor>
  <xdr:twoCellAnchor editAs="oneCell">
    <xdr:from>
      <xdr:col>0</xdr:col>
      <xdr:colOff>26146</xdr:colOff>
      <xdr:row>4</xdr:row>
      <xdr:rowOff>74145</xdr:rowOff>
    </xdr:from>
    <xdr:to>
      <xdr:col>1</xdr:col>
      <xdr:colOff>138442</xdr:colOff>
      <xdr:row>20</xdr:row>
      <xdr:rowOff>114253</xdr:rowOff>
    </xdr:to>
    <mc:AlternateContent xmlns:mc="http://schemas.openxmlformats.org/markup-compatibility/2006" xmlns:a14="http://schemas.microsoft.com/office/drawing/2010/main">
      <mc:Choice Requires="a14">
        <xdr:graphicFrame macro="">
          <xdr:nvGraphicFramePr>
            <xdr:cNvPr id="52" name="Date (Month) 1">
              <a:extLst>
                <a:ext uri="{FF2B5EF4-FFF2-40B4-BE49-F238E27FC236}">
                  <a16:creationId xmlns:a16="http://schemas.microsoft.com/office/drawing/2014/main" id="{6929D8EA-D3C8-4AA1-AE8F-63F4CA70EF9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6146" y="794145"/>
              <a:ext cx="724296" cy="2920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318000</xdr:colOff>
      <xdr:row>7</xdr:row>
      <xdr:rowOff>78000</xdr:rowOff>
    </xdr:from>
    <xdr:to>
      <xdr:col>3</xdr:col>
      <xdr:colOff>504000</xdr:colOff>
      <xdr:row>12</xdr:row>
      <xdr:rowOff>6000</xdr:rowOff>
    </xdr:to>
    <xdr:graphicFrame macro="">
      <xdr:nvGraphicFramePr>
        <xdr:cNvPr id="12" name="Chart 11">
          <a:hlinkClick xmlns:r="http://schemas.openxmlformats.org/officeDocument/2006/relationships" r:id="rId8"/>
          <a:extLst>
            <a:ext uri="{FF2B5EF4-FFF2-40B4-BE49-F238E27FC236}">
              <a16:creationId xmlns:a16="http://schemas.microsoft.com/office/drawing/2014/main" id="{58CB4B92-AB4C-4AA0-9C56-8AE800E4A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240000</xdr:colOff>
      <xdr:row>5</xdr:row>
      <xdr:rowOff>6000</xdr:rowOff>
    </xdr:from>
    <xdr:to>
      <xdr:col>5</xdr:col>
      <xdr:colOff>558000</xdr:colOff>
      <xdr:row>10</xdr:row>
      <xdr:rowOff>144000</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AD7E66AD-B846-47A8-B72A-473F7C97F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558001</xdr:colOff>
      <xdr:row>7</xdr:row>
      <xdr:rowOff>30000</xdr:rowOff>
    </xdr:from>
    <xdr:to>
      <xdr:col>8</xdr:col>
      <xdr:colOff>150001</xdr:colOff>
      <xdr:row>13</xdr:row>
      <xdr:rowOff>168382</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001197EB-4F0E-4484-9E6B-978B6D0B0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240000</xdr:colOff>
          <xdr:row>11</xdr:row>
          <xdr:rowOff>66000</xdr:rowOff>
        </xdr:from>
        <xdr:to>
          <xdr:col>7</xdr:col>
          <xdr:colOff>401999</xdr:colOff>
          <xdr:row>14</xdr:row>
          <xdr:rowOff>54000</xdr:rowOff>
        </xdr:to>
        <xdr:pic>
          <xdr:nvPicPr>
            <xdr:cNvPr id="23" name="Picture 22">
              <a:extLst>
                <a:ext uri="{FF2B5EF4-FFF2-40B4-BE49-F238E27FC236}">
                  <a16:creationId xmlns:a16="http://schemas.microsoft.com/office/drawing/2014/main" id="{707B3E9C-3A4E-675E-0D6F-B0AAF5FEA5D6}"/>
                </a:ext>
              </a:extLst>
            </xdr:cNvPr>
            <xdr:cNvPicPr>
              <a:picLocks noChangeAspect="1" noChangeArrowheads="1"/>
              <a:extLst>
                <a:ext uri="{84589F7E-364E-4C9E-8A38-B11213B215E9}">
                  <a14:cameraTool cellRange="'pivot report'!$A$54:$D$56" spid="_x0000_s1052"/>
                </a:ext>
              </a:extLst>
            </xdr:cNvPicPr>
          </xdr:nvPicPr>
          <xdr:blipFill>
            <a:blip xmlns:r="http://schemas.openxmlformats.org/officeDocument/2006/relationships" r:embed="rId14"/>
            <a:srcRect/>
            <a:stretch>
              <a:fillRect/>
            </a:stretch>
          </xdr:blipFill>
          <xdr:spPr bwMode="auto">
            <a:xfrm>
              <a:off x="852000" y="2046000"/>
              <a:ext cx="3833999" cy="528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180000</xdr:colOff>
      <xdr:row>14</xdr:row>
      <xdr:rowOff>102001</xdr:rowOff>
    </xdr:from>
    <xdr:to>
      <xdr:col>7</xdr:col>
      <xdr:colOff>366000</xdr:colOff>
      <xdr:row>20</xdr:row>
      <xdr:rowOff>114000</xdr:rowOff>
    </xdr:to>
    <xdr:graphicFrame macro="">
      <xdr:nvGraphicFramePr>
        <xdr:cNvPr id="24" name="Chart 23">
          <a:extLst>
            <a:ext uri="{FF2B5EF4-FFF2-40B4-BE49-F238E27FC236}">
              <a16:creationId xmlns:a16="http://schemas.microsoft.com/office/drawing/2014/main" id="{AAB5A5C7-D15E-45C6-BB4A-4052688AD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516000</xdr:colOff>
      <xdr:row>19</xdr:row>
      <xdr:rowOff>30000</xdr:rowOff>
    </xdr:from>
    <xdr:to>
      <xdr:col>5</xdr:col>
      <xdr:colOff>528000</xdr:colOff>
      <xdr:row>21</xdr:row>
      <xdr:rowOff>48000</xdr:rowOff>
    </xdr:to>
    <xdr:sp macro="" textlink="">
      <xdr:nvSpPr>
        <xdr:cNvPr id="26" name="TextBox 25">
          <a:extLst>
            <a:ext uri="{FF2B5EF4-FFF2-40B4-BE49-F238E27FC236}">
              <a16:creationId xmlns:a16="http://schemas.microsoft.com/office/drawing/2014/main" id="{7A7B866D-852B-4B22-A763-2351B60D3B25}"/>
            </a:ext>
          </a:extLst>
        </xdr:cNvPr>
        <xdr:cNvSpPr txBox="1"/>
      </xdr:nvSpPr>
      <xdr:spPr>
        <a:xfrm>
          <a:off x="1740000" y="3450000"/>
          <a:ext cx="1848000" cy="37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900" b="1"/>
            <a:t>No.Of Patient By Age Group</a:t>
          </a:r>
        </a:p>
      </xdr:txBody>
    </xdr:sp>
    <xdr:clientData/>
  </xdr:twoCellAnchor>
  <xdr:twoCellAnchor>
    <xdr:from>
      <xdr:col>7</xdr:col>
      <xdr:colOff>306000</xdr:colOff>
      <xdr:row>0</xdr:row>
      <xdr:rowOff>66000</xdr:rowOff>
    </xdr:from>
    <xdr:to>
      <xdr:col>10</xdr:col>
      <xdr:colOff>306000</xdr:colOff>
      <xdr:row>12</xdr:row>
      <xdr:rowOff>150000</xdr:rowOff>
    </xdr:to>
    <xdr:graphicFrame macro="">
      <xdr:nvGraphicFramePr>
        <xdr:cNvPr id="27" name="Chart 26">
          <a:extLst>
            <a:ext uri="{FF2B5EF4-FFF2-40B4-BE49-F238E27FC236}">
              <a16:creationId xmlns:a16="http://schemas.microsoft.com/office/drawing/2014/main" id="{A4B98894-001A-45A7-B097-6F03C8A24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582000</xdr:colOff>
      <xdr:row>9</xdr:row>
      <xdr:rowOff>84000</xdr:rowOff>
    </xdr:from>
    <xdr:to>
      <xdr:col>10</xdr:col>
      <xdr:colOff>336000</xdr:colOff>
      <xdr:row>11</xdr:row>
      <xdr:rowOff>56772</xdr:rowOff>
    </xdr:to>
    <xdr:sp macro="" textlink="">
      <xdr:nvSpPr>
        <xdr:cNvPr id="28" name="TextBox 27">
          <a:extLst>
            <a:ext uri="{FF2B5EF4-FFF2-40B4-BE49-F238E27FC236}">
              <a16:creationId xmlns:a16="http://schemas.microsoft.com/office/drawing/2014/main" id="{91B0B158-98DE-4956-A20C-2EF15B064385}"/>
            </a:ext>
          </a:extLst>
        </xdr:cNvPr>
        <xdr:cNvSpPr txBox="1"/>
      </xdr:nvSpPr>
      <xdr:spPr>
        <a:xfrm>
          <a:off x="4866000" y="1704000"/>
          <a:ext cx="1590000" cy="33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1"/>
            <a:t>Patient</a:t>
          </a:r>
          <a:r>
            <a:rPr lang="en-US" sz="1100" b="1" baseline="0"/>
            <a:t> Attended Status</a:t>
          </a:r>
          <a:endParaRPr lang="en-US" sz="1100" b="1"/>
        </a:p>
      </xdr:txBody>
    </xdr:sp>
    <xdr:clientData/>
  </xdr:twoCellAnchor>
  <xdr:twoCellAnchor>
    <xdr:from>
      <xdr:col>10</xdr:col>
      <xdr:colOff>84000</xdr:colOff>
      <xdr:row>0</xdr:row>
      <xdr:rowOff>6001</xdr:rowOff>
    </xdr:from>
    <xdr:to>
      <xdr:col>13</xdr:col>
      <xdr:colOff>78000</xdr:colOff>
      <xdr:row>12</xdr:row>
      <xdr:rowOff>12000</xdr:rowOff>
    </xdr:to>
    <xdr:graphicFrame macro="">
      <xdr:nvGraphicFramePr>
        <xdr:cNvPr id="38" name="Chart 37">
          <a:extLst>
            <a:ext uri="{FF2B5EF4-FFF2-40B4-BE49-F238E27FC236}">
              <a16:creationId xmlns:a16="http://schemas.microsoft.com/office/drawing/2014/main" id="{44F43B2D-6C66-48D9-B9E4-883BA65E3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354000</xdr:colOff>
      <xdr:row>9</xdr:row>
      <xdr:rowOff>66000</xdr:rowOff>
    </xdr:from>
    <xdr:to>
      <xdr:col>13</xdr:col>
      <xdr:colOff>108000</xdr:colOff>
      <xdr:row>11</xdr:row>
      <xdr:rowOff>38772</xdr:rowOff>
    </xdr:to>
    <xdr:sp macro="" textlink="">
      <xdr:nvSpPr>
        <xdr:cNvPr id="39" name="TextBox 38">
          <a:extLst>
            <a:ext uri="{FF2B5EF4-FFF2-40B4-BE49-F238E27FC236}">
              <a16:creationId xmlns:a16="http://schemas.microsoft.com/office/drawing/2014/main" id="{83FC7AB8-67A9-4DCC-8D4A-3D116E8CE4F0}"/>
            </a:ext>
          </a:extLst>
        </xdr:cNvPr>
        <xdr:cNvSpPr txBox="1"/>
      </xdr:nvSpPr>
      <xdr:spPr>
        <a:xfrm>
          <a:off x="6474000" y="1686000"/>
          <a:ext cx="1590000" cy="33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1"/>
            <a:t>Gender</a:t>
          </a:r>
          <a:r>
            <a:rPr lang="en-US" sz="1100" b="1" baseline="0"/>
            <a:t> Wise Analysis</a:t>
          </a:r>
          <a:endParaRPr lang="en-US" sz="1100" b="1"/>
        </a:p>
      </xdr:txBody>
    </xdr:sp>
    <xdr:clientData/>
  </xdr:twoCellAnchor>
  <xdr:twoCellAnchor>
    <xdr:from>
      <xdr:col>7</xdr:col>
      <xdr:colOff>276000</xdr:colOff>
      <xdr:row>10</xdr:row>
      <xdr:rowOff>174000</xdr:rowOff>
    </xdr:from>
    <xdr:to>
      <xdr:col>13</xdr:col>
      <xdr:colOff>174000</xdr:colOff>
      <xdr:row>20</xdr:row>
      <xdr:rowOff>24000</xdr:rowOff>
    </xdr:to>
    <xdr:graphicFrame macro="">
      <xdr:nvGraphicFramePr>
        <xdr:cNvPr id="40" name="Chart 39">
          <a:extLst>
            <a:ext uri="{FF2B5EF4-FFF2-40B4-BE49-F238E27FC236}">
              <a16:creationId xmlns:a16="http://schemas.microsoft.com/office/drawing/2014/main" id="{7A221103-1969-42A0-A11D-8DCF232B0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558000</xdr:colOff>
      <xdr:row>19</xdr:row>
      <xdr:rowOff>54000</xdr:rowOff>
    </xdr:from>
    <xdr:to>
      <xdr:col>12</xdr:col>
      <xdr:colOff>192000</xdr:colOff>
      <xdr:row>20</xdr:row>
      <xdr:rowOff>158772</xdr:rowOff>
    </xdr:to>
    <xdr:sp macro="" textlink="">
      <xdr:nvSpPr>
        <xdr:cNvPr id="41" name="TextBox 40">
          <a:extLst>
            <a:ext uri="{FF2B5EF4-FFF2-40B4-BE49-F238E27FC236}">
              <a16:creationId xmlns:a16="http://schemas.microsoft.com/office/drawing/2014/main" id="{77E625EB-8436-41A3-9C78-4A8536DFE92B}"/>
            </a:ext>
          </a:extLst>
        </xdr:cNvPr>
        <xdr:cNvSpPr txBox="1"/>
      </xdr:nvSpPr>
      <xdr:spPr>
        <a:xfrm>
          <a:off x="5454000" y="3474000"/>
          <a:ext cx="2082000" cy="284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1"/>
            <a:t>No.</a:t>
          </a:r>
          <a:r>
            <a:rPr lang="en-US" sz="1100" b="1" baseline="0"/>
            <a:t>of Patient By Department Reffeeral</a:t>
          </a:r>
          <a:endParaRPr lang="en-US" sz="1100" b="1"/>
        </a:p>
      </xdr:txBody>
    </xdr:sp>
    <xdr:clientData/>
  </xdr:twoCellAnchor>
  <xdr:twoCellAnchor editAs="oneCell">
    <xdr:from>
      <xdr:col>5</xdr:col>
      <xdr:colOff>198000</xdr:colOff>
      <xdr:row>0</xdr:row>
      <xdr:rowOff>96001</xdr:rowOff>
    </xdr:from>
    <xdr:to>
      <xdr:col>7</xdr:col>
      <xdr:colOff>336000</xdr:colOff>
      <xdr:row>3</xdr:row>
      <xdr:rowOff>78000</xdr:rowOff>
    </xdr:to>
    <mc:AlternateContent xmlns:mc="http://schemas.openxmlformats.org/markup-compatibility/2006" xmlns:a14="http://schemas.microsoft.com/office/drawing/2010/main">
      <mc:Choice Requires="a14">
        <xdr:graphicFrame macro="">
          <xdr:nvGraphicFramePr>
            <xdr:cNvPr id="46" name="Date (Year) 1">
              <a:extLst>
                <a:ext uri="{FF2B5EF4-FFF2-40B4-BE49-F238E27FC236}">
                  <a16:creationId xmlns:a16="http://schemas.microsoft.com/office/drawing/2014/main" id="{3527E2AC-EBF9-4154-9337-E7BCC0B5C0D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258000" y="96001"/>
              <a:ext cx="1362000" cy="52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582000</xdr:colOff>
      <xdr:row>2</xdr:row>
      <xdr:rowOff>0</xdr:rowOff>
    </xdr:from>
    <xdr:to>
      <xdr:col>4</xdr:col>
      <xdr:colOff>336000</xdr:colOff>
      <xdr:row>3</xdr:row>
      <xdr:rowOff>152772</xdr:rowOff>
    </xdr:to>
    <xdr:sp macro="" textlink="">
      <xdr:nvSpPr>
        <xdr:cNvPr id="50" name="TextBox 49">
          <a:extLst>
            <a:ext uri="{FF2B5EF4-FFF2-40B4-BE49-F238E27FC236}">
              <a16:creationId xmlns:a16="http://schemas.microsoft.com/office/drawing/2014/main" id="{3F4A637E-F8BA-4C9D-B411-15F4111EC6EC}"/>
            </a:ext>
          </a:extLst>
        </xdr:cNvPr>
        <xdr:cNvSpPr txBox="1"/>
      </xdr:nvSpPr>
      <xdr:spPr>
        <a:xfrm>
          <a:off x="1194000" y="360000"/>
          <a:ext cx="1590000" cy="332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US" sz="1100" b="1">
              <a:solidFill>
                <a:schemeClr val="accent2">
                  <a:lumMod val="50000"/>
                </a:schemeClr>
              </a:solidFill>
            </a:rPr>
            <a:t>Monthly</a:t>
          </a:r>
          <a:r>
            <a:rPr lang="en-US" sz="1100" b="1" baseline="0">
              <a:solidFill>
                <a:schemeClr val="accent2">
                  <a:lumMod val="50000"/>
                </a:schemeClr>
              </a:solidFill>
            </a:rPr>
            <a:t> Report</a:t>
          </a:r>
          <a:endParaRPr lang="en-US" sz="1100" b="1">
            <a:solidFill>
              <a:schemeClr val="accent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281940</xdr:colOff>
      <xdr:row>22</xdr:row>
      <xdr:rowOff>106680</xdr:rowOff>
    </xdr:to>
    <xdr:graphicFrame macro="">
      <xdr:nvGraphicFramePr>
        <xdr:cNvPr id="2" name="Chart 1">
          <a:extLst>
            <a:ext uri="{FF2B5EF4-FFF2-40B4-BE49-F238E27FC236}">
              <a16:creationId xmlns:a16="http://schemas.microsoft.com/office/drawing/2014/main" id="{70481F7E-BF68-4C15-BE99-EEA88282B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487680</xdr:colOff>
      <xdr:row>2</xdr:row>
      <xdr:rowOff>72796</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01C4F028-353D-5893-DAC9-3726D811CE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87680" cy="4385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198120</xdr:colOff>
      <xdr:row>25</xdr:row>
      <xdr:rowOff>121920</xdr:rowOff>
    </xdr:to>
    <xdr:graphicFrame macro="">
      <xdr:nvGraphicFramePr>
        <xdr:cNvPr id="2" name="Chart 1">
          <a:extLst>
            <a:ext uri="{FF2B5EF4-FFF2-40B4-BE49-F238E27FC236}">
              <a16:creationId xmlns:a16="http://schemas.microsoft.com/office/drawing/2014/main" id="{9CA566C4-D887-42E0-93CE-8AAA9E378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20</xdr:row>
      <xdr:rowOff>0</xdr:rowOff>
    </xdr:from>
    <xdr:to>
      <xdr:col>17</xdr:col>
      <xdr:colOff>487680</xdr:colOff>
      <xdr:row>22</xdr:row>
      <xdr:rowOff>121920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5EEF88EA-8FBB-E310-5F93-1FB2AF0F96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63200" y="3657600"/>
          <a:ext cx="487680" cy="48768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0.93215</cdr:x>
      <cdr:y>0</cdr:y>
    </cdr:from>
    <cdr:to>
      <cdr:x>0.99218</cdr:x>
      <cdr:y>0.09343</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734FCB5-900E-F5DB-EF5C-603A60257B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571740" y="0"/>
          <a:ext cx="487680" cy="4876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12</xdr:col>
      <xdr:colOff>129540</xdr:colOff>
      <xdr:row>19</xdr:row>
      <xdr:rowOff>83820</xdr:rowOff>
    </xdr:to>
    <xdr:graphicFrame macro="">
      <xdr:nvGraphicFramePr>
        <xdr:cNvPr id="2" name="Chart 1">
          <a:extLst>
            <a:ext uri="{FF2B5EF4-FFF2-40B4-BE49-F238E27FC236}">
              <a16:creationId xmlns:a16="http://schemas.microsoft.com/office/drawing/2014/main" id="{CC4D4BB2-3498-4A58-9B40-548E02845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0.91607</cdr:x>
      <cdr:y>0.0316</cdr:y>
    </cdr:from>
    <cdr:to>
      <cdr:x>0.98158</cdr:x>
      <cdr:y>0.17607</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6E842AC-5A8F-A346-9A34-92C7EC869A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819900" y="106680"/>
          <a:ext cx="487680" cy="4876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8564818" createdVersion="5" refreshedVersion="8" minRefreshableVersion="3" recordCount="0" supportSubquery="1" supportAdvancedDrill="1" xr:uid="{574C582C-D440-4F21-881A-6DCDDE6A9B6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8680556" createdVersion="5" refreshedVersion="8" minRefreshableVersion="3" recordCount="0" supportSubquery="1" supportAdvancedDrill="1" xr:uid="{DFDAA4EF-88AE-4B45-9E52-14C3785B9EA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8912034" createdVersion="5" refreshedVersion="8" minRefreshableVersion="3" recordCount="0" supportSubquery="1" supportAdvancedDrill="1" xr:uid="{270AFF51-944C-465A-B571-A3D44B53C19B}">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902778" createdVersion="5" refreshedVersion="8" minRefreshableVersion="3" recordCount="0" supportSubquery="1" supportAdvancedDrill="1" xr:uid="{B80DABE8-D108-47F2-9873-37E42D6FDC3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9490741" createdVersion="5" refreshedVersion="8" minRefreshableVersion="3" recordCount="0" supportSubquery="1" supportAdvancedDrill="1" xr:uid="{968A2E2D-0EF4-40DE-B035-7255F71B34CA}">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09837965" createdVersion="5" refreshedVersion="8" minRefreshableVersion="3" recordCount="0" supportSubquery="1" supportAdvancedDrill="1" xr:uid="{E0D6A58C-E3A3-4EB2-9E4E-8902FA71AB1C}">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0185188" createdVersion="5" refreshedVersion="8" minRefreshableVersion="3" recordCount="0" supportSubquery="1" supportAdvancedDrill="1" xr:uid="{358C50DE-98AA-488D-AD1D-2F7568D41E4E}">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0532404" createdVersion="5" refreshedVersion="8" minRefreshableVersion="3" recordCount="0" supportSubquery="1" supportAdvancedDrill="1" xr:uid="{5D3254FF-D013-4676-A6C4-D88F21EA14E7}">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0879627" createdVersion="5" refreshedVersion="8" minRefreshableVersion="3" recordCount="0" supportSubquery="1" supportAdvancedDrill="1" xr:uid="{8840F36B-23BB-42CE-B5F1-68BFEF17721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1458335" createdVersion="5" refreshedVersion="8" minRefreshableVersion="3" recordCount="0" supportSubquery="1" supportAdvancedDrill="1" xr:uid="{C0164C7F-05C5-493A-A1C4-9DDB442D879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1921297" createdVersion="5" refreshedVersion="8" minRefreshableVersion="3" recordCount="0" supportSubquery="1" supportAdvancedDrill="1" xr:uid="{8CFE56B6-A023-4525-8A6F-0110AAC5EF9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459812152774" createdVersion="5" refreshedVersion="8" minRefreshableVersion="3" recordCount="0" supportSubquery="1" supportAdvancedDrill="1" xr:uid="{9A5C7394-914F-4FEF-8516-1E3AC58B5780}">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tesh mahajan" refreshedDate="46037.038244560186" createdVersion="3" refreshedVersion="8" minRefreshableVersion="3" recordCount="0" supportSubquery="1" supportAdvancedDrill="1" xr:uid="{7F7F74B0-20EC-4242-BAF7-1B78D5F2EAB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758363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5F74F1-122A-4252-BA22-A98DC47EB1E7}" name="PivotTable4" cacheId="159" applyNumberFormats="0" applyBorderFormats="0" applyFontFormats="0" applyPatternFormats="0" applyAlignmentFormats="0" applyWidthHeightFormats="1" dataCaption="Values" tag="7d75fdb5-7b52-49fb-969d-bfbce8b5521a" updatedVersion="8" minRefreshableVersion="3" itemPrintTitles="1" createdVersion="5" indent="0" outline="1" outlineData="1" multipleFieldFilters="0" chartFormat="14">
  <location ref="E11:F42"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E832DF-DC89-4480-99A2-BA78FFE68837}" name="PivotTable8" cacheId="180" applyNumberFormats="0" applyBorderFormats="0" applyFontFormats="0" applyPatternFormats="0" applyAlignmentFormats="0" applyWidthHeightFormats="1" dataCaption="Values" tag="39fe7352-df15-4dc7-8420-65ed354fef87" updatedVersion="8" minRefreshableVersion="3" itemPrintTitles="1" createdVersion="5" indent="0" outline="1" outlineData="1" multipleFieldFilters="0" chartFormat="6">
  <location ref="A61: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6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2F651-327B-4EF5-8F86-D0AB8F4CCB8B}" name="PivotTable5" cacheId="171" applyNumberFormats="0" applyBorderFormats="0" applyFontFormats="0" applyPatternFormats="0" applyAlignmentFormats="0" applyWidthHeightFormats="1" dataCaption="Values" tag="7d75fdb5-7b52-49fb-969d-bfbce8b5521a" updatedVersion="8" minRefreshableVersion="3" itemPrintTitles="1" createdVersion="5" indent="0" outline="1" outlineData="1" multipleFieldFilters="0" chartFormat="19">
  <location ref="K11:L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61">
      <pivotArea outline="0" collapsedLevelsAreSubtotals="1" fieldPosition="0"/>
    </format>
  </formats>
  <chartFormats count="3">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CB1A55-5974-4D2F-B7CB-A5032C8F67E7}" name="PivotTable1" cacheId="162" applyNumberFormats="0" applyBorderFormats="0" applyFontFormats="0" applyPatternFormats="0" applyAlignmentFormats="0" applyWidthHeightFormats="1" dataCaption="Values" tag="7d75fdb5-7b52-49fb-969d-bfbce8b5521a" updatedVersion="8"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074874-6E9C-49C2-90F9-84BB745C5489}" name="PivotTable10" cacheId="186" applyNumberFormats="0" applyBorderFormats="0" applyFontFormats="0" applyPatternFormats="0" applyAlignmentFormats="0" applyWidthHeightFormats="1" dataCaption="Values" tag="39fe7352-df15-4dc7-8420-65ed354fef87" updatedVersion="8" minRefreshableVersion="3" itemPrintTitles="1" createdVersion="5" indent="0" outline="1" outlineData="1" multipleFieldFilters="0" chartFormat="21">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62">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586C17-95EB-4DF3-AEF1-6E705671530F}" name="PivotTable3" cacheId="168" applyNumberFormats="0" applyBorderFormats="0" applyFontFormats="0" applyPatternFormats="0" applyAlignmentFormats="0" applyWidthHeightFormats="1" dataCaption="Values" tag="39fe7352-df15-4dc7-8420-65ed354fef87" updatedVersion="8" minRefreshableVersion="3"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3">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832A67-3AB1-4A6B-B11B-E8A26235F115}" name="PivotTable7" cacheId="177" applyNumberFormats="0" applyBorderFormats="0" applyFontFormats="0" applyPatternFormats="0" applyAlignmentFormats="0" applyWidthHeightFormats="1" dataCaption="Values" tag="39fe7352-df15-4dc7-8420-65ed354fef87" updatedVersion="8" minRefreshableVersion="3" itemPrintTitles="1" createdVersion="5" indent="0" outline="1" outlineData="1" multipleFieldFilters="0" chartFormat="2">
  <location ref="A47:C5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66">
      <pivotArea outline="0" collapsedLevelsAreSubtotals="1" fieldPosition="0"/>
    </format>
    <format dxfId="65">
      <pivotArea collapsedLevelsAreSubtotals="1" fieldPosition="0">
        <references count="1">
          <reference field="2" count="0"/>
        </references>
      </pivotArea>
    </format>
    <format dxfId="64">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AD809D-9A16-44BE-8A00-8A22C9B7B732}" name="PivotTable9" cacheId="183" applyNumberFormats="0" applyBorderFormats="0" applyFontFormats="0" applyPatternFormats="0" applyAlignmentFormats="0" applyWidthHeightFormats="1" dataCaption="Values" tag="39fe7352-df15-4dc7-8420-65ed354fef87" updatedVersion="8" minRefreshableVersion="3" itemPrintTitles="1" createdVersion="5" indent="0" outline="1" outlineData="1" multipleFieldFilters="0" chartFormat="11">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7">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772DFC-AC03-4FF5-8D57-A565A8E94543}" name="PivotTable2" cacheId="165" applyNumberFormats="0" applyBorderFormats="0" applyFontFormats="0" applyPatternFormats="0" applyAlignmentFormats="0" applyWidthHeightFormats="1" dataCaption="Values" tag="22acd479-28b8-4442-a819-58957fe771ec" updatedVersion="8" minRefreshableVersion="3"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68">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5BFC83-6CFE-4293-A9F5-44FF1DAA3682}" name="PivotTable12" cacheId="192" applyNumberFormats="0" applyBorderFormats="0" applyFontFormats="0" applyPatternFormats="0" applyAlignmentFormats="0" applyWidthHeightFormats="1" dataCaption="Values" tag="39fe7352-df15-4dc7-8420-65ed354fef87" updatedVersion="8" minRefreshableVersion="3" subtotalHiddenItems="1" itemPrintTitles="1" createdVersion="5" indent="0" outline="1" outlineData="1" multipleFieldFilters="0" chartFormat="24">
  <location ref="A98:A10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9">
      <pivotArea outline="0" collapsedLevelsAreSubtotals="1"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488610-48EA-4F1E-B9AB-F59D9B0AA4BB}" name="PivotTable6" cacheId="174" applyNumberFormats="0" applyBorderFormats="0" applyFontFormats="0" applyPatternFormats="0" applyAlignmentFormats="0" applyWidthHeightFormats="1" dataCaption="Values" tag="7d75fdb5-7b52-49fb-969d-bfbce8b5521a" updatedVersion="8" minRefreshableVersion="3" itemPrintTitles="1" createdVersion="5" indent="0" outline="1" outlineData="1" multipleFieldFilters="0" chartFormat="25">
  <location ref="P10:Q41"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70">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565E85-6CDE-4ED2-8489-66354007862B}" name="PivotTable11" cacheId="189" applyNumberFormats="0" applyBorderFormats="0" applyFontFormats="0" applyPatternFormats="0" applyAlignmentFormats="0" applyWidthHeightFormats="1" dataCaption="Values" tag="39fe7352-df15-4dc7-8420-65ed354fef87" updatedVersion="8" minRefreshableVersion="3" subtotalHiddenItems="1" itemPrintTitles="1" createdVersion="5" indent="0" outline="1" outlineData="1" multipleFieldFilters="0" chartFormat="24">
  <location ref="A86:B9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1">
    <format dxfId="71">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7E0BB53-9CC8-4FCA-B4D4-E8BC652119B9}"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175836353">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3E9C0E9-B7A5-41EB-85BB-2CCCACAB1284}"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7583635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7E8E652-6DFC-447F-A89F-A346E73BB2AD}"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A471881-6D4A-44AB-94D9-08571429A912}" cache="Slicer_Date__Month" caption="Date (Month)" showCaption="0" level="1" style="my style" rowHeight="252000"/>
  <slicer name="Date (Year) 1" xr10:uid="{5F63A67C-F39D-478A-8656-EDC6C918E0EC}" cache="Slicer_Date__Year" caption="Date (Year)" columnCount="2" showCaption="0" level="1" style="my style"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AE5B-77D6-4537-A33B-C11D92729BCC}">
  <dimension ref="A7:Q100"/>
  <sheetViews>
    <sheetView zoomScale="157" workbookViewId="0">
      <selection activeCell="E99" sqref="E99"/>
    </sheetView>
  </sheetViews>
  <sheetFormatPr defaultRowHeight="14.4" x14ac:dyDescent="0.3"/>
  <cols>
    <col min="1" max="1" width="20.44140625" customWidth="1"/>
    <col min="2" max="2" width="16.88671875" customWidth="1"/>
    <col min="3" max="3" width="17" customWidth="1"/>
    <col min="4" max="4" width="22.77734375" customWidth="1"/>
    <col min="5" max="5" width="23.5546875" customWidth="1"/>
    <col min="11" max="11" width="23.21875" customWidth="1"/>
    <col min="12" max="12" width="22.88671875" customWidth="1"/>
    <col min="16" max="16" width="26.33203125" customWidth="1"/>
    <col min="17" max="17" width="19" customWidth="1"/>
  </cols>
  <sheetData>
    <row r="7" spans="1:17" x14ac:dyDescent="0.3">
      <c r="A7" t="s">
        <v>0</v>
      </c>
    </row>
    <row r="8" spans="1:17" x14ac:dyDescent="0.3">
      <c r="A8" s="15">
        <v>469</v>
      </c>
    </row>
    <row r="9" spans="1:17" x14ac:dyDescent="0.3">
      <c r="P9" t="s">
        <v>7</v>
      </c>
    </row>
    <row r="10" spans="1:17" x14ac:dyDescent="0.3">
      <c r="E10" t="s">
        <v>5</v>
      </c>
      <c r="K10" t="s">
        <v>6</v>
      </c>
      <c r="P10" s="2" t="s">
        <v>4</v>
      </c>
      <c r="Q10" t="s">
        <v>2</v>
      </c>
    </row>
    <row r="11" spans="1:17" x14ac:dyDescent="0.3">
      <c r="E11" s="2" t="s">
        <v>4</v>
      </c>
      <c r="F11" t="s">
        <v>0</v>
      </c>
      <c r="K11" s="2" t="s">
        <v>4</v>
      </c>
      <c r="L11" t="s">
        <v>1</v>
      </c>
      <c r="P11" s="3" t="s">
        <v>42</v>
      </c>
      <c r="Q11" s="6">
        <v>3.5</v>
      </c>
    </row>
    <row r="12" spans="1:17" x14ac:dyDescent="0.3">
      <c r="E12" s="3" t="s">
        <v>42</v>
      </c>
      <c r="F12" s="15">
        <v>12</v>
      </c>
      <c r="K12" s="3" t="s">
        <v>42</v>
      </c>
      <c r="L12" s="6">
        <v>29.833333333333332</v>
      </c>
      <c r="P12" s="3" t="s">
        <v>43</v>
      </c>
      <c r="Q12" s="6">
        <v>5.8</v>
      </c>
    </row>
    <row r="13" spans="1:17" x14ac:dyDescent="0.3">
      <c r="E13" s="3" t="s">
        <v>43</v>
      </c>
      <c r="F13" s="15">
        <v>18</v>
      </c>
      <c r="K13" s="3" t="s">
        <v>43</v>
      </c>
      <c r="L13" s="6">
        <v>34.777777777777779</v>
      </c>
      <c r="P13" s="3" t="s">
        <v>44</v>
      </c>
      <c r="Q13" s="6">
        <v>3.6</v>
      </c>
    </row>
    <row r="14" spans="1:17" x14ac:dyDescent="0.3">
      <c r="A14" t="s">
        <v>1</v>
      </c>
      <c r="E14" s="3" t="s">
        <v>44</v>
      </c>
      <c r="F14" s="15">
        <v>17</v>
      </c>
      <c r="K14" s="3" t="s">
        <v>44</v>
      </c>
      <c r="L14" s="6">
        <v>35</v>
      </c>
      <c r="P14" s="3" t="s">
        <v>45</v>
      </c>
      <c r="Q14" s="6">
        <v>7.25</v>
      </c>
    </row>
    <row r="15" spans="1:17" x14ac:dyDescent="0.3">
      <c r="A15" s="1">
        <v>34.268656716417908</v>
      </c>
      <c r="E15" s="3" t="s">
        <v>45</v>
      </c>
      <c r="F15" s="15">
        <v>15</v>
      </c>
      <c r="K15" s="3" t="s">
        <v>45</v>
      </c>
      <c r="L15" s="6">
        <v>34.06666666666667</v>
      </c>
      <c r="P15" s="3" t="s">
        <v>46</v>
      </c>
      <c r="Q15" s="6">
        <v>4</v>
      </c>
    </row>
    <row r="16" spans="1:17" x14ac:dyDescent="0.3">
      <c r="E16" s="3" t="s">
        <v>46</v>
      </c>
      <c r="F16" s="15">
        <v>13</v>
      </c>
      <c r="K16" s="3" t="s">
        <v>46</v>
      </c>
      <c r="L16" s="6">
        <v>34.846153846153847</v>
      </c>
      <c r="P16" s="3" t="s">
        <v>47</v>
      </c>
      <c r="Q16" s="6">
        <v>6.2</v>
      </c>
    </row>
    <row r="17" spans="1:17" x14ac:dyDescent="0.3">
      <c r="E17" s="3" t="s">
        <v>47</v>
      </c>
      <c r="F17" s="15">
        <v>11</v>
      </c>
      <c r="K17" s="3" t="s">
        <v>47</v>
      </c>
      <c r="L17" s="6">
        <v>36.81818181818182</v>
      </c>
      <c r="P17" s="3" t="s">
        <v>48</v>
      </c>
      <c r="Q17" s="6">
        <v>6.5</v>
      </c>
    </row>
    <row r="18" spans="1:17" x14ac:dyDescent="0.3">
      <c r="A18" t="s">
        <v>2</v>
      </c>
      <c r="E18" s="3" t="s">
        <v>48</v>
      </c>
      <c r="F18" s="15">
        <v>14</v>
      </c>
      <c r="K18" s="3" t="s">
        <v>48</v>
      </c>
      <c r="L18" s="6">
        <v>34.5</v>
      </c>
      <c r="P18" s="3" t="s">
        <v>49</v>
      </c>
      <c r="Q18" s="6">
        <v>6</v>
      </c>
    </row>
    <row r="19" spans="1:17" x14ac:dyDescent="0.3">
      <c r="A19" s="1">
        <v>4.9837398373983737</v>
      </c>
      <c r="E19" s="3" t="s">
        <v>49</v>
      </c>
      <c r="F19" s="15">
        <v>17</v>
      </c>
      <c r="K19" s="3" t="s">
        <v>49</v>
      </c>
      <c r="L19" s="6">
        <v>32.882352941176471</v>
      </c>
      <c r="P19" s="3" t="s">
        <v>50</v>
      </c>
      <c r="Q19" s="6">
        <v>1.5</v>
      </c>
    </row>
    <row r="20" spans="1:17" x14ac:dyDescent="0.3">
      <c r="E20" s="3" t="s">
        <v>50</v>
      </c>
      <c r="F20" s="15">
        <v>15</v>
      </c>
      <c r="K20" s="3" t="s">
        <v>50</v>
      </c>
      <c r="L20" s="6">
        <v>43.466666666666669</v>
      </c>
      <c r="P20" s="3" t="s">
        <v>51</v>
      </c>
      <c r="Q20" s="6">
        <v>2.5</v>
      </c>
    </row>
    <row r="21" spans="1:17" x14ac:dyDescent="0.3">
      <c r="E21" s="3" t="s">
        <v>51</v>
      </c>
      <c r="F21" s="15">
        <v>16</v>
      </c>
      <c r="K21" s="3" t="s">
        <v>51</v>
      </c>
      <c r="L21" s="6">
        <v>28.375</v>
      </c>
      <c r="P21" s="3" t="s">
        <v>52</v>
      </c>
      <c r="Q21" s="6">
        <v>7.25</v>
      </c>
    </row>
    <row r="22" spans="1:17" x14ac:dyDescent="0.3">
      <c r="E22" s="3" t="s">
        <v>52</v>
      </c>
      <c r="F22" s="15">
        <v>9</v>
      </c>
      <c r="K22" s="3" t="s">
        <v>52</v>
      </c>
      <c r="L22" s="6">
        <v>34.777777777777779</v>
      </c>
      <c r="P22" s="3" t="s">
        <v>53</v>
      </c>
      <c r="Q22" s="6">
        <v>1.5</v>
      </c>
    </row>
    <row r="23" spans="1:17" x14ac:dyDescent="0.3">
      <c r="E23" s="3" t="s">
        <v>53</v>
      </c>
      <c r="F23" s="15">
        <v>10</v>
      </c>
      <c r="K23" s="3" t="s">
        <v>53</v>
      </c>
      <c r="L23" s="6">
        <v>35.200000000000003</v>
      </c>
      <c r="P23" s="3" t="s">
        <v>54</v>
      </c>
      <c r="Q23" s="6">
        <v>5</v>
      </c>
    </row>
    <row r="24" spans="1:17" x14ac:dyDescent="0.3">
      <c r="E24" s="3" t="s">
        <v>54</v>
      </c>
      <c r="F24" s="15">
        <v>12</v>
      </c>
      <c r="K24" s="3" t="s">
        <v>54</v>
      </c>
      <c r="L24" s="6">
        <v>32</v>
      </c>
      <c r="P24" s="3" t="s">
        <v>55</v>
      </c>
      <c r="Q24" s="6">
        <v>6.5</v>
      </c>
    </row>
    <row r="25" spans="1:17" x14ac:dyDescent="0.3">
      <c r="E25" s="3" t="s">
        <v>55</v>
      </c>
      <c r="F25" s="15">
        <v>13</v>
      </c>
      <c r="K25" s="3" t="s">
        <v>55</v>
      </c>
      <c r="L25" s="6">
        <v>37.615384615384613</v>
      </c>
      <c r="P25" s="3" t="s">
        <v>56</v>
      </c>
      <c r="Q25" s="6">
        <v>4.1111111111111107</v>
      </c>
    </row>
    <row r="26" spans="1:17" x14ac:dyDescent="0.3">
      <c r="E26" s="3" t="s">
        <v>56</v>
      </c>
      <c r="F26" s="15">
        <v>26</v>
      </c>
      <c r="K26" s="3" t="s">
        <v>56</v>
      </c>
      <c r="L26" s="6">
        <v>37.384615384615387</v>
      </c>
      <c r="P26" s="3" t="s">
        <v>57</v>
      </c>
      <c r="Q26" s="6">
        <v>6.6</v>
      </c>
    </row>
    <row r="27" spans="1:17" x14ac:dyDescent="0.3">
      <c r="E27" s="3" t="s">
        <v>57</v>
      </c>
      <c r="F27" s="15">
        <v>22</v>
      </c>
      <c r="K27" s="3" t="s">
        <v>57</v>
      </c>
      <c r="L27" s="6">
        <v>33.954545454545453</v>
      </c>
      <c r="P27" s="3" t="s">
        <v>58</v>
      </c>
      <c r="Q27" s="6">
        <v>5.2</v>
      </c>
    </row>
    <row r="28" spans="1:17" x14ac:dyDescent="0.3">
      <c r="E28" s="3" t="s">
        <v>58</v>
      </c>
      <c r="F28" s="15">
        <v>16</v>
      </c>
      <c r="K28" s="3" t="s">
        <v>58</v>
      </c>
      <c r="L28" s="6">
        <v>32.5</v>
      </c>
      <c r="P28" s="3" t="s">
        <v>59</v>
      </c>
      <c r="Q28" s="6">
        <v>5.5</v>
      </c>
    </row>
    <row r="29" spans="1:17" x14ac:dyDescent="0.3">
      <c r="E29" s="3" t="s">
        <v>59</v>
      </c>
      <c r="F29" s="15">
        <v>12</v>
      </c>
      <c r="K29" s="3" t="s">
        <v>59</v>
      </c>
      <c r="L29" s="6">
        <v>37.25</v>
      </c>
      <c r="P29" s="3" t="s">
        <v>60</v>
      </c>
      <c r="Q29" s="6">
        <v>3.3333333333333335</v>
      </c>
    </row>
    <row r="30" spans="1:17" x14ac:dyDescent="0.3">
      <c r="E30" s="3" t="s">
        <v>60</v>
      </c>
      <c r="F30" s="15">
        <v>21</v>
      </c>
      <c r="K30" s="3" t="s">
        <v>60</v>
      </c>
      <c r="L30" s="6">
        <v>34.047619047619051</v>
      </c>
      <c r="P30" s="3" t="s">
        <v>61</v>
      </c>
      <c r="Q30" s="6">
        <v>5</v>
      </c>
    </row>
    <row r="31" spans="1:17" x14ac:dyDescent="0.3">
      <c r="E31" s="3" t="s">
        <v>61</v>
      </c>
      <c r="F31" s="15">
        <v>12</v>
      </c>
      <c r="K31" s="3" t="s">
        <v>61</v>
      </c>
      <c r="L31" s="6">
        <v>34.583333333333336</v>
      </c>
      <c r="P31" s="3" t="s">
        <v>62</v>
      </c>
      <c r="Q31" s="6">
        <v>6.5</v>
      </c>
    </row>
    <row r="32" spans="1:17" x14ac:dyDescent="0.3">
      <c r="E32" s="3" t="s">
        <v>62</v>
      </c>
      <c r="F32" s="15">
        <v>15</v>
      </c>
      <c r="K32" s="3" t="s">
        <v>62</v>
      </c>
      <c r="L32" s="6">
        <v>31</v>
      </c>
      <c r="P32" s="3" t="s">
        <v>63</v>
      </c>
      <c r="Q32" s="6">
        <v>3</v>
      </c>
    </row>
    <row r="33" spans="1:17" x14ac:dyDescent="0.3">
      <c r="E33" s="3" t="s">
        <v>63</v>
      </c>
      <c r="F33" s="15">
        <v>23</v>
      </c>
      <c r="K33" s="3" t="s">
        <v>63</v>
      </c>
      <c r="L33" s="6">
        <v>33.347826086956523</v>
      </c>
      <c r="P33" s="3" t="s">
        <v>64</v>
      </c>
      <c r="Q33" s="6">
        <v>5.333333333333333</v>
      </c>
    </row>
    <row r="34" spans="1:17" x14ac:dyDescent="0.3">
      <c r="E34" s="3" t="s">
        <v>64</v>
      </c>
      <c r="F34" s="15">
        <v>15</v>
      </c>
      <c r="K34" s="3" t="s">
        <v>64</v>
      </c>
      <c r="L34" s="6">
        <v>33.799999999999997</v>
      </c>
      <c r="P34" s="3" t="s">
        <v>65</v>
      </c>
      <c r="Q34" s="6">
        <v>7.333333333333333</v>
      </c>
    </row>
    <row r="35" spans="1:17" x14ac:dyDescent="0.3">
      <c r="E35" s="3" t="s">
        <v>65</v>
      </c>
      <c r="F35" s="15">
        <v>15</v>
      </c>
      <c r="K35" s="3" t="s">
        <v>65</v>
      </c>
      <c r="L35" s="6">
        <v>32.466666666666669</v>
      </c>
      <c r="P35" s="3" t="s">
        <v>66</v>
      </c>
      <c r="Q35" s="6">
        <v>5.6</v>
      </c>
    </row>
    <row r="36" spans="1:17" x14ac:dyDescent="0.3">
      <c r="E36" s="3" t="s">
        <v>66</v>
      </c>
      <c r="F36" s="15">
        <v>14</v>
      </c>
      <c r="K36" s="3" t="s">
        <v>66</v>
      </c>
      <c r="L36" s="6">
        <v>36.642857142857146</v>
      </c>
      <c r="P36" s="3" t="s">
        <v>67</v>
      </c>
      <c r="Q36" s="6">
        <v>4.4000000000000004</v>
      </c>
    </row>
    <row r="37" spans="1:17" x14ac:dyDescent="0.3">
      <c r="E37" s="3" t="s">
        <v>67</v>
      </c>
      <c r="F37" s="15">
        <v>19</v>
      </c>
      <c r="K37" s="3" t="s">
        <v>67</v>
      </c>
      <c r="L37" s="6">
        <v>32.631578947368418</v>
      </c>
      <c r="P37" s="3" t="s">
        <v>68</v>
      </c>
      <c r="Q37" s="6">
        <v>4</v>
      </c>
    </row>
    <row r="38" spans="1:17" x14ac:dyDescent="0.3">
      <c r="E38" s="3" t="s">
        <v>68</v>
      </c>
      <c r="F38" s="15">
        <v>17</v>
      </c>
      <c r="K38" s="3" t="s">
        <v>68</v>
      </c>
      <c r="L38" s="6">
        <v>32.176470588235297</v>
      </c>
      <c r="P38" s="3" t="s">
        <v>69</v>
      </c>
      <c r="Q38" s="6">
        <v>3</v>
      </c>
    </row>
    <row r="39" spans="1:17" x14ac:dyDescent="0.3">
      <c r="E39" s="3" t="s">
        <v>69</v>
      </c>
      <c r="F39" s="15">
        <v>16</v>
      </c>
      <c r="K39" s="3" t="s">
        <v>69</v>
      </c>
      <c r="L39" s="6">
        <v>33.5</v>
      </c>
      <c r="P39" s="3" t="s">
        <v>70</v>
      </c>
      <c r="Q39" s="6">
        <v>5.666666666666667</v>
      </c>
    </row>
    <row r="40" spans="1:17" x14ac:dyDescent="0.3">
      <c r="E40" s="3" t="s">
        <v>70</v>
      </c>
      <c r="F40" s="15">
        <v>15</v>
      </c>
      <c r="K40" s="3" t="s">
        <v>70</v>
      </c>
      <c r="L40" s="6">
        <v>33.200000000000003</v>
      </c>
      <c r="P40" s="3" t="s">
        <v>71</v>
      </c>
      <c r="Q40" s="6">
        <v>5.8571428571428568</v>
      </c>
    </row>
    <row r="41" spans="1:17" x14ac:dyDescent="0.3">
      <c r="E41" s="3" t="s">
        <v>71</v>
      </c>
      <c r="F41" s="15">
        <v>19</v>
      </c>
      <c r="K41" s="3" t="s">
        <v>71</v>
      </c>
      <c r="L41" s="6">
        <v>35.89473684210526</v>
      </c>
      <c r="P41" s="3" t="s">
        <v>3</v>
      </c>
      <c r="Q41" s="6">
        <v>4.9837398373983737</v>
      </c>
    </row>
    <row r="42" spans="1:17" x14ac:dyDescent="0.3">
      <c r="E42" s="3" t="s">
        <v>3</v>
      </c>
      <c r="F42" s="15">
        <v>469</v>
      </c>
      <c r="K42" s="3" t="s">
        <v>3</v>
      </c>
      <c r="L42" s="6">
        <v>34.268656716417908</v>
      </c>
    </row>
    <row r="47" spans="1:17" x14ac:dyDescent="0.3">
      <c r="A47" s="2" t="s">
        <v>4</v>
      </c>
      <c r="B47" t="s">
        <v>8</v>
      </c>
      <c r="C47" t="s">
        <v>11</v>
      </c>
    </row>
    <row r="48" spans="1:17" x14ac:dyDescent="0.3">
      <c r="A48" s="3" t="s">
        <v>9</v>
      </c>
      <c r="B48" s="7">
        <v>249</v>
      </c>
      <c r="C48" s="8">
        <v>0.53091684434968012</v>
      </c>
    </row>
    <row r="49" spans="1:4" x14ac:dyDescent="0.3">
      <c r="A49" s="3" t="s">
        <v>10</v>
      </c>
      <c r="B49" s="7">
        <v>220</v>
      </c>
      <c r="C49" s="8">
        <v>0.46908315565031983</v>
      </c>
    </row>
    <row r="50" spans="1:4" x14ac:dyDescent="0.3">
      <c r="A50" s="3" t="s">
        <v>3</v>
      </c>
      <c r="B50" s="1">
        <v>469</v>
      </c>
      <c r="C50" s="8">
        <v>1</v>
      </c>
    </row>
    <row r="54" spans="1:4" x14ac:dyDescent="0.3">
      <c r="A54" s="10" t="s">
        <v>12</v>
      </c>
      <c r="B54" s="10" t="s">
        <v>14</v>
      </c>
      <c r="C54" s="10" t="s">
        <v>13</v>
      </c>
      <c r="D54" s="9"/>
    </row>
    <row r="55" spans="1:4" x14ac:dyDescent="0.3">
      <c r="A55" s="12" t="str">
        <f>A49</f>
        <v>Not Admitted</v>
      </c>
      <c r="B55" s="13">
        <f>B49</f>
        <v>220</v>
      </c>
      <c r="C55" s="14">
        <f t="shared" ref="C55" si="0">C49</f>
        <v>0.46908315565031983</v>
      </c>
      <c r="D55" s="5"/>
    </row>
    <row r="56" spans="1:4" x14ac:dyDescent="0.3">
      <c r="A56" s="12" t="str">
        <f>A48</f>
        <v>Admitted</v>
      </c>
      <c r="B56" s="12">
        <f t="shared" ref="B56:C56" si="1">B48</f>
        <v>249</v>
      </c>
      <c r="C56" s="14">
        <f t="shared" si="1"/>
        <v>0.53091684434968012</v>
      </c>
      <c r="D56" s="5"/>
    </row>
    <row r="60" spans="1:4" x14ac:dyDescent="0.3">
      <c r="A60" s="11" t="s">
        <v>24</v>
      </c>
      <c r="B60" s="11"/>
    </row>
    <row r="61" spans="1:4" x14ac:dyDescent="0.3">
      <c r="A61" s="2" t="s">
        <v>4</v>
      </c>
      <c r="B61" t="s">
        <v>23</v>
      </c>
    </row>
    <row r="62" spans="1:4" x14ac:dyDescent="0.3">
      <c r="A62" s="3" t="s">
        <v>15</v>
      </c>
      <c r="B62" s="7">
        <v>61</v>
      </c>
    </row>
    <row r="63" spans="1:4" x14ac:dyDescent="0.3">
      <c r="A63" s="3" t="s">
        <v>16</v>
      </c>
      <c r="B63" s="7">
        <v>56</v>
      </c>
    </row>
    <row r="64" spans="1:4" x14ac:dyDescent="0.3">
      <c r="A64" s="3" t="s">
        <v>17</v>
      </c>
      <c r="B64" s="7">
        <v>58</v>
      </c>
    </row>
    <row r="65" spans="1:2" x14ac:dyDescent="0.3">
      <c r="A65" s="3" t="s">
        <v>18</v>
      </c>
      <c r="B65" s="7">
        <v>56</v>
      </c>
    </row>
    <row r="66" spans="1:2" x14ac:dyDescent="0.3">
      <c r="A66" s="3" t="s">
        <v>19</v>
      </c>
      <c r="B66" s="7">
        <v>66</v>
      </c>
    </row>
    <row r="67" spans="1:2" x14ac:dyDescent="0.3">
      <c r="A67" s="3" t="s">
        <v>20</v>
      </c>
      <c r="B67" s="7">
        <v>62</v>
      </c>
    </row>
    <row r="68" spans="1:2" x14ac:dyDescent="0.3">
      <c r="A68" s="3" t="s">
        <v>21</v>
      </c>
      <c r="B68" s="7">
        <v>58</v>
      </c>
    </row>
    <row r="69" spans="1:2" x14ac:dyDescent="0.3">
      <c r="A69" s="3" t="s">
        <v>22</v>
      </c>
      <c r="B69" s="7">
        <v>52</v>
      </c>
    </row>
    <row r="70" spans="1:2" x14ac:dyDescent="0.3">
      <c r="A70" s="3" t="s">
        <v>3</v>
      </c>
      <c r="B70" s="7">
        <v>469</v>
      </c>
    </row>
    <row r="73" spans="1:2" x14ac:dyDescent="0.3">
      <c r="A73" s="3" t="s">
        <v>28</v>
      </c>
    </row>
    <row r="74" spans="1:2" x14ac:dyDescent="0.3">
      <c r="A74" s="2" t="s">
        <v>4</v>
      </c>
      <c r="B74" t="s">
        <v>27</v>
      </c>
    </row>
    <row r="75" spans="1:2" x14ac:dyDescent="0.3">
      <c r="A75" s="3" t="s">
        <v>25</v>
      </c>
      <c r="B75" s="7">
        <v>257</v>
      </c>
    </row>
    <row r="76" spans="1:2" x14ac:dyDescent="0.3">
      <c r="A76" s="3" t="s">
        <v>26</v>
      </c>
      <c r="B76" s="7">
        <v>212</v>
      </c>
    </row>
    <row r="77" spans="1:2" x14ac:dyDescent="0.3">
      <c r="A77" s="3" t="s">
        <v>3</v>
      </c>
      <c r="B77" s="7">
        <v>469</v>
      </c>
    </row>
    <row r="80" spans="1:2" x14ac:dyDescent="0.3">
      <c r="A80" s="2" t="s">
        <v>4</v>
      </c>
      <c r="B80" t="s">
        <v>31</v>
      </c>
    </row>
    <row r="81" spans="1:2" x14ac:dyDescent="0.3">
      <c r="A81" s="3" t="s">
        <v>29</v>
      </c>
      <c r="B81" s="7">
        <v>219</v>
      </c>
    </row>
    <row r="82" spans="1:2" x14ac:dyDescent="0.3">
      <c r="A82" s="3" t="s">
        <v>30</v>
      </c>
      <c r="B82" s="7">
        <v>250</v>
      </c>
    </row>
    <row r="83" spans="1:2" x14ac:dyDescent="0.3">
      <c r="A83" s="3" t="s">
        <v>3</v>
      </c>
      <c r="B83" s="7">
        <v>469</v>
      </c>
    </row>
    <row r="86" spans="1:2" x14ac:dyDescent="0.3">
      <c r="A86" s="2" t="s">
        <v>4</v>
      </c>
      <c r="B86" t="s">
        <v>40</v>
      </c>
    </row>
    <row r="87" spans="1:2" x14ac:dyDescent="0.3">
      <c r="A87" s="3" t="s">
        <v>39</v>
      </c>
      <c r="B87" s="7">
        <v>6</v>
      </c>
    </row>
    <row r="88" spans="1:2" x14ac:dyDescent="0.3">
      <c r="A88" s="3" t="s">
        <v>35</v>
      </c>
      <c r="B88" s="7">
        <v>7</v>
      </c>
    </row>
    <row r="89" spans="1:2" x14ac:dyDescent="0.3">
      <c r="A89" s="3" t="s">
        <v>33</v>
      </c>
      <c r="B89" s="7">
        <v>11</v>
      </c>
    </row>
    <row r="90" spans="1:2" x14ac:dyDescent="0.3">
      <c r="A90" s="3" t="s">
        <v>32</v>
      </c>
      <c r="B90" s="7">
        <v>13</v>
      </c>
    </row>
    <row r="91" spans="1:2" x14ac:dyDescent="0.3">
      <c r="A91" s="3" t="s">
        <v>38</v>
      </c>
      <c r="B91" s="7">
        <v>17</v>
      </c>
    </row>
    <row r="92" spans="1:2" x14ac:dyDescent="0.3">
      <c r="A92" s="3" t="s">
        <v>37</v>
      </c>
      <c r="B92" s="7">
        <v>48</v>
      </c>
    </row>
    <row r="93" spans="1:2" x14ac:dyDescent="0.3">
      <c r="A93" s="3" t="s">
        <v>34</v>
      </c>
      <c r="B93" s="7">
        <v>107</v>
      </c>
    </row>
    <row r="94" spans="1:2" x14ac:dyDescent="0.3">
      <c r="A94" s="3" t="s">
        <v>36</v>
      </c>
      <c r="B94" s="7">
        <v>260</v>
      </c>
    </row>
    <row r="95" spans="1:2" x14ac:dyDescent="0.3">
      <c r="A95" s="3" t="s">
        <v>3</v>
      </c>
      <c r="B95" s="7">
        <v>469</v>
      </c>
    </row>
    <row r="98" spans="1:1" x14ac:dyDescent="0.3">
      <c r="A98" s="2" t="s">
        <v>4</v>
      </c>
    </row>
    <row r="99" spans="1:1" x14ac:dyDescent="0.3">
      <c r="A99" s="3" t="s">
        <v>41</v>
      </c>
    </row>
    <row r="100" spans="1:1" x14ac:dyDescent="0.3">
      <c r="A100" s="3" t="s">
        <v>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BA889-C40E-47E5-BC87-31AB78087FBC}">
  <dimension ref="A1:N21"/>
  <sheetViews>
    <sheetView tabSelected="1" zoomScale="124" zoomScaleNormal="176" workbookViewId="0">
      <selection activeCell="Q10" sqref="Q10"/>
    </sheetView>
  </sheetViews>
  <sheetFormatPr defaultRowHeight="14.4" x14ac:dyDescent="0.3"/>
  <sheetData>
    <row r="1" spans="1:14" x14ac:dyDescent="0.3">
      <c r="A1" s="4"/>
      <c r="B1" s="4"/>
      <c r="C1" s="4"/>
      <c r="D1" s="4"/>
      <c r="E1" s="4"/>
      <c r="F1" s="4"/>
      <c r="G1" s="4"/>
      <c r="H1" s="4"/>
      <c r="I1" s="4"/>
      <c r="J1" s="4"/>
      <c r="K1" s="4"/>
      <c r="L1" s="4"/>
      <c r="M1" s="4"/>
      <c r="N1" s="5"/>
    </row>
    <row r="2" spans="1:14" x14ac:dyDescent="0.3">
      <c r="A2" s="4"/>
      <c r="B2" s="4"/>
      <c r="C2" s="4"/>
      <c r="D2" s="4"/>
      <c r="E2" s="4"/>
      <c r="F2" s="4"/>
      <c r="G2" s="4"/>
      <c r="H2" s="4"/>
      <c r="I2" s="4"/>
      <c r="J2" s="4"/>
      <c r="K2" s="4"/>
      <c r="L2" s="4"/>
      <c r="M2" s="4"/>
      <c r="N2" s="5"/>
    </row>
    <row r="3" spans="1:14" x14ac:dyDescent="0.3">
      <c r="A3" s="4"/>
      <c r="B3" s="4"/>
      <c r="C3" s="4"/>
      <c r="D3" s="4"/>
      <c r="E3" s="4"/>
      <c r="F3" s="4"/>
      <c r="G3" s="4"/>
      <c r="H3" s="4"/>
      <c r="I3" s="4"/>
      <c r="J3" s="4"/>
      <c r="K3" s="4"/>
      <c r="L3" s="4"/>
      <c r="M3" s="4"/>
      <c r="N3" s="5"/>
    </row>
    <row r="4" spans="1:14" x14ac:dyDescent="0.3">
      <c r="A4" s="4"/>
      <c r="B4" s="4"/>
      <c r="C4" s="4"/>
      <c r="D4" s="4"/>
      <c r="E4" s="4"/>
      <c r="F4" s="4"/>
      <c r="G4" s="4"/>
      <c r="H4" s="4"/>
      <c r="I4" s="4"/>
      <c r="J4" s="4"/>
      <c r="K4" s="4"/>
      <c r="L4" s="4"/>
      <c r="M4" s="4"/>
      <c r="N4" s="5"/>
    </row>
    <row r="5" spans="1:14" x14ac:dyDescent="0.3">
      <c r="A5" s="4"/>
      <c r="B5" s="4"/>
      <c r="C5" s="4"/>
      <c r="D5" s="4"/>
      <c r="E5" s="4"/>
      <c r="F5" s="4"/>
      <c r="G5" s="4"/>
      <c r="H5" s="4"/>
      <c r="I5" s="4"/>
      <c r="J5" s="4"/>
      <c r="K5" s="4"/>
      <c r="L5" s="4"/>
      <c r="M5" s="4"/>
      <c r="N5" s="5"/>
    </row>
    <row r="6" spans="1:14" x14ac:dyDescent="0.3">
      <c r="A6" s="4"/>
      <c r="B6" s="4"/>
      <c r="C6" s="4"/>
      <c r="D6" s="4"/>
      <c r="E6" s="4"/>
      <c r="F6" s="4"/>
      <c r="G6" s="4"/>
      <c r="H6" s="4"/>
      <c r="I6" s="4"/>
      <c r="J6" s="4"/>
      <c r="K6" s="4"/>
      <c r="L6" s="4"/>
      <c r="M6" s="4"/>
      <c r="N6" s="5"/>
    </row>
    <row r="7" spans="1:14" x14ac:dyDescent="0.3">
      <c r="A7" s="4"/>
      <c r="B7" s="4"/>
      <c r="C7" s="4"/>
      <c r="D7" s="4"/>
      <c r="E7" s="4"/>
      <c r="F7" s="4"/>
      <c r="G7" s="4"/>
      <c r="H7" s="4"/>
      <c r="I7" s="4"/>
      <c r="J7" s="4"/>
      <c r="K7" s="4"/>
      <c r="L7" s="4"/>
      <c r="M7" s="4"/>
      <c r="N7" s="5"/>
    </row>
    <row r="8" spans="1:14" x14ac:dyDescent="0.3">
      <c r="A8" s="4"/>
      <c r="B8" s="4"/>
      <c r="C8" s="4"/>
      <c r="D8" s="4"/>
      <c r="E8" s="4"/>
      <c r="F8" s="4"/>
      <c r="G8" s="4"/>
      <c r="H8" s="4"/>
      <c r="I8" s="4"/>
      <c r="J8" s="4"/>
      <c r="K8" s="4"/>
      <c r="L8" s="4"/>
      <c r="M8" s="4"/>
      <c r="N8" s="5"/>
    </row>
    <row r="9" spans="1:14" x14ac:dyDescent="0.3">
      <c r="A9" s="4"/>
      <c r="B9" s="4"/>
      <c r="C9" s="4"/>
      <c r="D9" s="4"/>
      <c r="E9" s="4"/>
      <c r="F9" s="4"/>
      <c r="G9" s="4"/>
      <c r="H9" s="4"/>
      <c r="I9" s="4"/>
      <c r="J9" s="4"/>
      <c r="K9" s="4"/>
      <c r="L9" s="4"/>
      <c r="M9" s="4"/>
      <c r="N9" s="5"/>
    </row>
    <row r="10" spans="1:14" x14ac:dyDescent="0.3">
      <c r="A10" s="4"/>
      <c r="B10" s="4"/>
      <c r="C10" s="4"/>
      <c r="D10" s="4"/>
      <c r="E10" s="4"/>
      <c r="F10" s="4"/>
      <c r="G10" s="4"/>
      <c r="H10" s="4"/>
      <c r="I10" s="4"/>
      <c r="J10" s="4"/>
      <c r="K10" s="4"/>
      <c r="L10" s="4"/>
      <c r="M10" s="4"/>
      <c r="N10" s="5"/>
    </row>
    <row r="11" spans="1:14" x14ac:dyDescent="0.3">
      <c r="A11" s="4"/>
      <c r="B11" s="4"/>
      <c r="C11" s="4"/>
      <c r="D11" s="4"/>
      <c r="E11" s="4"/>
      <c r="F11" s="4"/>
      <c r="G11" s="4"/>
      <c r="H11" s="4"/>
      <c r="I11" s="4"/>
      <c r="J11" s="4"/>
      <c r="K11" s="4"/>
      <c r="L11" s="4"/>
      <c r="M11" s="4"/>
      <c r="N11" s="5"/>
    </row>
    <row r="12" spans="1:14" x14ac:dyDescent="0.3">
      <c r="A12" s="4"/>
      <c r="B12" s="4"/>
      <c r="C12" s="4"/>
      <c r="D12" s="4"/>
      <c r="E12" s="4"/>
      <c r="F12" s="4"/>
      <c r="G12" s="4"/>
      <c r="H12" s="4"/>
      <c r="I12" s="4"/>
      <c r="J12" s="4"/>
      <c r="K12" s="4"/>
      <c r="L12" s="4"/>
      <c r="M12" s="4"/>
      <c r="N12" s="5"/>
    </row>
    <row r="13" spans="1:14" x14ac:dyDescent="0.3">
      <c r="A13" s="4"/>
      <c r="B13" s="4"/>
      <c r="C13" s="4"/>
      <c r="D13" s="4"/>
      <c r="E13" s="4"/>
      <c r="F13" s="4"/>
      <c r="G13" s="4"/>
      <c r="H13" s="4"/>
      <c r="I13" s="4"/>
      <c r="J13" s="4"/>
      <c r="K13" s="4"/>
      <c r="L13" s="4"/>
      <c r="M13" s="4"/>
      <c r="N13" s="5"/>
    </row>
    <row r="14" spans="1:14" x14ac:dyDescent="0.3">
      <c r="A14" s="4"/>
      <c r="B14" s="4"/>
      <c r="C14" s="4"/>
      <c r="D14" s="4"/>
      <c r="E14" s="4"/>
      <c r="F14" s="4"/>
      <c r="G14" s="4"/>
      <c r="H14" s="4"/>
      <c r="I14" s="4"/>
      <c r="J14" s="4"/>
      <c r="K14" s="4"/>
      <c r="L14" s="4"/>
      <c r="M14" s="4"/>
      <c r="N14" s="5"/>
    </row>
    <row r="15" spans="1:14" x14ac:dyDescent="0.3">
      <c r="A15" s="4"/>
      <c r="B15" s="4"/>
      <c r="C15" s="4"/>
      <c r="D15" s="4"/>
      <c r="E15" s="4"/>
      <c r="F15" s="4"/>
      <c r="G15" s="4"/>
      <c r="H15" s="4"/>
      <c r="I15" s="4"/>
      <c r="J15" s="4"/>
      <c r="K15" s="4"/>
      <c r="L15" s="4"/>
      <c r="M15" s="4"/>
      <c r="N15" s="5"/>
    </row>
    <row r="16" spans="1:14" x14ac:dyDescent="0.3">
      <c r="A16" s="4"/>
      <c r="B16" s="4"/>
      <c r="C16" s="4"/>
      <c r="D16" s="4"/>
      <c r="E16" s="4"/>
      <c r="F16" s="4"/>
      <c r="G16" s="4"/>
      <c r="H16" s="4"/>
      <c r="I16" s="4"/>
      <c r="J16" s="4"/>
      <c r="K16" s="4"/>
      <c r="L16" s="4"/>
      <c r="M16" s="4"/>
      <c r="N16" s="5"/>
    </row>
    <row r="17" spans="1:14" x14ac:dyDescent="0.3">
      <c r="A17" s="4"/>
      <c r="B17" s="4"/>
      <c r="C17" s="4"/>
      <c r="D17" s="4"/>
      <c r="E17" s="4"/>
      <c r="F17" s="4"/>
      <c r="G17" s="4"/>
      <c r="H17" s="4"/>
      <c r="I17" s="4"/>
      <c r="J17" s="4"/>
      <c r="K17" s="4"/>
      <c r="L17" s="4"/>
      <c r="M17" s="4"/>
      <c r="N17" s="5"/>
    </row>
    <row r="18" spans="1:14" x14ac:dyDescent="0.3">
      <c r="A18" s="4"/>
      <c r="B18" s="4"/>
      <c r="C18" s="4"/>
      <c r="D18" s="4"/>
      <c r="E18" s="4"/>
      <c r="F18" s="4"/>
      <c r="G18" s="4"/>
      <c r="H18" s="4"/>
      <c r="I18" s="4"/>
      <c r="J18" s="4"/>
      <c r="K18" s="4"/>
      <c r="L18" s="4"/>
      <c r="M18" s="4"/>
      <c r="N18" s="5"/>
    </row>
    <row r="19" spans="1:14" x14ac:dyDescent="0.3">
      <c r="A19" s="4"/>
      <c r="B19" s="4"/>
      <c r="C19" s="4"/>
      <c r="D19" s="4"/>
      <c r="E19" s="4"/>
      <c r="F19" s="4"/>
      <c r="G19" s="4"/>
      <c r="H19" s="4"/>
      <c r="I19" s="4"/>
      <c r="J19" s="4"/>
      <c r="K19" s="4"/>
      <c r="L19" s="4"/>
      <c r="M19" s="4"/>
      <c r="N19" s="5"/>
    </row>
    <row r="20" spans="1:14" x14ac:dyDescent="0.3">
      <c r="A20" s="4"/>
      <c r="B20" s="4"/>
      <c r="C20" s="4"/>
      <c r="D20" s="4"/>
      <c r="E20" s="4"/>
      <c r="F20" s="4"/>
      <c r="G20" s="4"/>
      <c r="H20" s="4"/>
      <c r="I20" s="4"/>
      <c r="J20" s="4"/>
      <c r="K20" s="4"/>
      <c r="L20" s="4"/>
      <c r="M20" s="4"/>
      <c r="N20" s="5"/>
    </row>
    <row r="21" spans="1:14" x14ac:dyDescent="0.3">
      <c r="A21" s="4"/>
      <c r="B21" s="4"/>
      <c r="C21" s="4"/>
      <c r="D21" s="4"/>
      <c r="E21" s="4"/>
      <c r="F21" s="4"/>
      <c r="G21" s="4"/>
      <c r="H21" s="4"/>
      <c r="I21" s="4"/>
      <c r="J21" s="4"/>
      <c r="K21" s="4"/>
      <c r="L21" s="4"/>
      <c r="M21" s="4"/>
      <c r="N21"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29FBF-1521-4FB0-8AB5-E2FE0A881AE3}">
  <dimension ref="A1"/>
  <sheetViews>
    <sheetView workbookViewId="0">
      <selection activeCell="O20" sqref="O20"/>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3F1B-DB5F-49C8-9C1B-174937C13C40}">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52FB-B42A-4389-925F-9A7F86457880}">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CA1CEE5-11E6-4C64-96C0-6AD6030B884A}">
  <ds:schemaRefs/>
</ds:datastoreItem>
</file>

<file path=customXml/itemProps2.xml><?xml version="1.0" encoding="utf-8"?>
<ds:datastoreItem xmlns:ds="http://schemas.openxmlformats.org/officeDocument/2006/customXml" ds:itemID="{4856067E-CF00-40D2-94CC-5E90FB9BEFAE}">
  <ds:schemaRefs/>
</ds:datastoreItem>
</file>

<file path=customXml/itemProps3.xml><?xml version="1.0" encoding="utf-8"?>
<ds:datastoreItem xmlns:ds="http://schemas.openxmlformats.org/officeDocument/2006/customXml" ds:itemID="{CD013BB3-3AB4-4197-82D0-F01825ACF5E0}">
  <ds:schemaRefs/>
</ds:datastoreItem>
</file>

<file path=customXml/itemProps4.xml><?xml version="1.0" encoding="utf-8"?>
<ds:datastoreItem xmlns:ds="http://schemas.openxmlformats.org/officeDocument/2006/customXml" ds:itemID="{0A5865BC-E295-4CCC-B0AE-39B30C840474}">
  <ds:schemaRefs/>
</ds:datastoreItem>
</file>

<file path=customXml/itemProps5.xml><?xml version="1.0" encoding="utf-8"?>
<ds:datastoreItem xmlns:ds="http://schemas.openxmlformats.org/officeDocument/2006/customXml" ds:itemID="{4105E51A-0735-4F4A-9E1F-A537BE0AACB2}">
  <ds:schemaRefs/>
</ds:datastoreItem>
</file>

<file path=customXml/itemProps6.xml><?xml version="1.0" encoding="utf-8"?>
<ds:datastoreItem xmlns:ds="http://schemas.openxmlformats.org/officeDocument/2006/customXml" ds:itemID="{E92FA9BB-8AF2-45F4-A6CC-E258B0CEAABA}">
  <ds:schemaRefs/>
</ds:datastoreItem>
</file>

<file path=customXml/itemProps7.xml><?xml version="1.0" encoding="utf-8"?>
<ds:datastoreItem xmlns:ds="http://schemas.openxmlformats.org/officeDocument/2006/customXml" ds:itemID="{73161AF3-1A89-4E64-8A32-5441E89D71D8}">
  <ds:schemaRefs/>
</ds:datastoreItem>
</file>

<file path=customXml/itemProps8.xml><?xml version="1.0" encoding="utf-8"?>
<ds:datastoreItem xmlns:ds="http://schemas.openxmlformats.org/officeDocument/2006/customXml" ds:itemID="{95AC8D3C-B5B2-4F86-A070-81C91710F150}">
  <ds:schemaRefs/>
</ds:datastoreItem>
</file>

<file path=customXml/itemProps9.xml><?xml version="1.0" encoding="utf-8"?>
<ds:datastoreItem xmlns:ds="http://schemas.openxmlformats.org/officeDocument/2006/customXml" ds:itemID="{C4A2494E-DDBC-4D7E-81A9-88BF1EA8267B}">
  <ds:schemaRefs/>
</ds:datastoreItem>
</file>

<file path=customXml/itemProps10.xml><?xml version="1.0" encoding="utf-8"?>
<ds:datastoreItem xmlns:ds="http://schemas.openxmlformats.org/officeDocument/2006/customXml" ds:itemID="{DD7AF519-6429-459A-AC26-5271D5B70EDC}">
  <ds:schemaRefs/>
</ds:datastoreItem>
</file>

<file path=customXml/itemProps11.xml><?xml version="1.0" encoding="utf-8"?>
<ds:datastoreItem xmlns:ds="http://schemas.openxmlformats.org/officeDocument/2006/customXml" ds:itemID="{43A0569B-A4B9-4550-ABED-F694CC1CCF06}">
  <ds:schemaRefs/>
</ds:datastoreItem>
</file>

<file path=customXml/itemProps12.xml><?xml version="1.0" encoding="utf-8"?>
<ds:datastoreItem xmlns:ds="http://schemas.openxmlformats.org/officeDocument/2006/customXml" ds:itemID="{160810E6-C48A-4649-ABF6-DBC9288D548D}">
  <ds:schemaRefs/>
</ds:datastoreItem>
</file>

<file path=customXml/itemProps13.xml><?xml version="1.0" encoding="utf-8"?>
<ds:datastoreItem xmlns:ds="http://schemas.openxmlformats.org/officeDocument/2006/customXml" ds:itemID="{88015DCA-1861-4BE0-9650-B1E6DFD697ED}">
  <ds:schemaRefs/>
</ds:datastoreItem>
</file>

<file path=customXml/itemProps14.xml><?xml version="1.0" encoding="utf-8"?>
<ds:datastoreItem xmlns:ds="http://schemas.openxmlformats.org/officeDocument/2006/customXml" ds:itemID="{A039CA34-4BD7-42D1-A78B-31D1A21F8D5B}">
  <ds:schemaRefs/>
</ds:datastoreItem>
</file>

<file path=customXml/itemProps15.xml><?xml version="1.0" encoding="utf-8"?>
<ds:datastoreItem xmlns:ds="http://schemas.openxmlformats.org/officeDocument/2006/customXml" ds:itemID="{037DEA16-F1EC-4B38-B4C9-3BD8CA8EFA88}">
  <ds:schemaRefs/>
</ds:datastoreItem>
</file>

<file path=customXml/itemProps16.xml><?xml version="1.0" encoding="utf-8"?>
<ds:datastoreItem xmlns:ds="http://schemas.openxmlformats.org/officeDocument/2006/customXml" ds:itemID="{E0DAF293-9AEF-4860-BDE0-A75C6B3A6D9B}">
  <ds:schemaRefs/>
</ds:datastoreItem>
</file>

<file path=customXml/itemProps17.xml><?xml version="1.0" encoding="utf-8"?>
<ds:datastoreItem xmlns:ds="http://schemas.openxmlformats.org/officeDocument/2006/customXml" ds:itemID="{7C0EC96D-B6BB-4DBE-B8CD-7A74AAABEF8C}">
  <ds:schemaRefs>
    <ds:schemaRef ds:uri="http://schemas.microsoft.com/DataMashup"/>
  </ds:schemaRefs>
</ds:datastoreItem>
</file>

<file path=customXml/itemProps18.xml><?xml version="1.0" encoding="utf-8"?>
<ds:datastoreItem xmlns:ds="http://schemas.openxmlformats.org/officeDocument/2006/customXml" ds:itemID="{A8332984-630F-4581-B5FC-155DF5010C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Daily Trends</vt:lpstr>
      <vt:lpstr>Average WaitTime Daily trend</vt:lpstr>
      <vt:lpstr>Daily ER No.Of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mahajan</dc:creator>
  <cp:lastModifiedBy>hitesh mahajan</cp:lastModifiedBy>
  <dcterms:created xsi:type="dcterms:W3CDTF">2026-01-10T07:05:36Z</dcterms:created>
  <dcterms:modified xsi:type="dcterms:W3CDTF">2026-01-15T05:55:47Z</dcterms:modified>
</cp:coreProperties>
</file>